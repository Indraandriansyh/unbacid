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daftar jabatan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80" i="1" l="1"/>
  <c r="J79" i="1"/>
  <c r="J78" i="1"/>
  <c r="J77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M48" i="1" l="1"/>
  <c r="M47" i="1"/>
  <c r="M46" i="1"/>
  <c r="M44" i="1"/>
  <c r="M43" i="1"/>
  <c r="M42" i="1"/>
  <c r="M41" i="1"/>
  <c r="M40" i="1"/>
  <c r="M39" i="1"/>
  <c r="M38" i="1"/>
  <c r="M37" i="1"/>
  <c r="M36" i="1"/>
  <c r="M34" i="1"/>
  <c r="M33" i="1"/>
  <c r="M32" i="1"/>
  <c r="M30" i="1"/>
  <c r="M28" i="1"/>
  <c r="M13" i="1"/>
  <c r="M25" i="1"/>
  <c r="M23" i="1"/>
  <c r="M22" i="1"/>
  <c r="M21" i="1"/>
  <c r="M17" i="1"/>
  <c r="M16" i="1"/>
  <c r="M15" i="1"/>
  <c r="M14" i="1"/>
  <c r="M24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<sst xmlns="http://schemas.openxmlformats.org/spreadsheetml/2006/main" count="509" uniqueCount="325">
  <si>
    <t>No</t>
  </si>
  <si>
    <t>Nama</t>
  </si>
  <si>
    <t>Jabatan</t>
  </si>
  <si>
    <t>TMT</t>
  </si>
  <si>
    <t>SDT</t>
  </si>
  <si>
    <t>Tempat Tanggal Lahir</t>
  </si>
  <si>
    <t>Pendidikan</t>
  </si>
  <si>
    <t>NIK</t>
  </si>
  <si>
    <t>Masuk Bekerja</t>
  </si>
  <si>
    <t>Pangkat</t>
  </si>
  <si>
    <t>Tahun Masuk</t>
  </si>
  <si>
    <t>Rektor</t>
  </si>
  <si>
    <t>Prof.</t>
  </si>
  <si>
    <t>Wakil Rektor I</t>
  </si>
  <si>
    <t>tak ada</t>
  </si>
  <si>
    <t>Sunraizal, S.E., M.M., CFrA., CFE., CGCAE., QRGP</t>
  </si>
  <si>
    <t>Wakil Rektor II</t>
  </si>
  <si>
    <t>S2</t>
  </si>
  <si>
    <t>Wakil Rektor III</t>
  </si>
  <si>
    <t>Bogor, 7 Juni 1970</t>
  </si>
  <si>
    <t>S3</t>
  </si>
  <si>
    <t>01067</t>
  </si>
  <si>
    <t>Februari 1999</t>
  </si>
  <si>
    <t>Penata, II/C</t>
  </si>
  <si>
    <t>Dekan Fak. Agroteknopreneur dan Agraria</t>
  </si>
  <si>
    <t>Padang Panjang, 5 September 1961</t>
  </si>
  <si>
    <t>Januari 2003</t>
  </si>
  <si>
    <t>Pembina, IV/a</t>
  </si>
  <si>
    <t>Dekan Fak. Ekonomi &amp; Bisnis</t>
  </si>
  <si>
    <t>Klaten, 04 Desember 1968</t>
  </si>
  <si>
    <t>01106</t>
  </si>
  <si>
    <t>Agustus 2006</t>
  </si>
  <si>
    <t>Penata Muda Tk. I, III/d</t>
  </si>
  <si>
    <t>Dekan Fak. Sains dan Teknologi</t>
  </si>
  <si>
    <t>Bandung, 1 Desember 1968</t>
  </si>
  <si>
    <t>01052</t>
  </si>
  <si>
    <t>Juli 1996</t>
  </si>
  <si>
    <t>Dekan Fak. Kehutanan dan Lingkungan</t>
  </si>
  <si>
    <t>Nganjuk, 7 Mei 1968</t>
  </si>
  <si>
    <t>GB</t>
  </si>
  <si>
    <t>01095</t>
  </si>
  <si>
    <t>September 1997</t>
  </si>
  <si>
    <t>Penata Muda Tk. I, III/b</t>
  </si>
  <si>
    <t>Chopep Tolandho, MBA</t>
  </si>
  <si>
    <t>Kepala BAUU</t>
  </si>
  <si>
    <t>Sukoharjo,17 Februari 1959</t>
  </si>
  <si>
    <t>Pembina Utama Madya, IV/d</t>
  </si>
  <si>
    <t>Linar  Humaira, Ir., MS</t>
  </si>
  <si>
    <t>Tasik Malaya, 5 Nopember 1964</t>
  </si>
  <si>
    <t>April 2004</t>
  </si>
  <si>
    <t>Agus Pranamulia, SE., M.M</t>
  </si>
  <si>
    <t>Kepala BHPI</t>
  </si>
  <si>
    <t>Jakarta, 28 Agustus 1968</t>
  </si>
  <si>
    <t>01132</t>
  </si>
  <si>
    <t>Mei 2014</t>
  </si>
  <si>
    <t>Febi Nurilmala, M.Si</t>
  </si>
  <si>
    <t>Kepala BKA</t>
  </si>
  <si>
    <t>Bandung, 9 februari 1967</t>
  </si>
  <si>
    <t>Januari 1997</t>
  </si>
  <si>
    <t>Dr. Mamay Maslahat, S.Si.,M.Si</t>
  </si>
  <si>
    <t>Ketua LP-Mutu</t>
  </si>
  <si>
    <t>Bogor, 25 Oktober 1976</t>
  </si>
  <si>
    <t>01083</t>
  </si>
  <si>
    <t>September 2002</t>
  </si>
  <si>
    <t>Penata Tk.I, III/d</t>
  </si>
  <si>
    <t>Dr. Ir. Zainal Muttaqin, MP</t>
  </si>
  <si>
    <t>Ketua LPPM</t>
  </si>
  <si>
    <t>Pamekasan, 12 Agustus 1965</t>
  </si>
  <si>
    <t>April 2009</t>
  </si>
  <si>
    <t>Dr. Anna Fitriani, S.Pt., M.Si</t>
  </si>
  <si>
    <t>Kaprodi Pascasarjana</t>
  </si>
  <si>
    <t>Iis Anisa Yulia, SE., MM</t>
  </si>
  <si>
    <t>Kaprodi Manajemen</t>
  </si>
  <si>
    <t>Bogor, 22 Juli 1981</t>
  </si>
  <si>
    <t>02102</t>
  </si>
  <si>
    <t>April 2005</t>
  </si>
  <si>
    <t xml:space="preserve">Feni Marnilin, SE., M.Akt </t>
  </si>
  <si>
    <t>Kaprodi Akuntansi</t>
  </si>
  <si>
    <t>Bogor, 01 Maret 1992</t>
  </si>
  <si>
    <t>01156</t>
  </si>
  <si>
    <t>September 2018</t>
  </si>
  <si>
    <t>Andi Masnang, Ir., MS</t>
  </si>
  <si>
    <t>Kaprodi  Agroteknologi</t>
  </si>
  <si>
    <t>22-30/07/2025</t>
  </si>
  <si>
    <t>Masiwah, 19 Nopember 1965</t>
  </si>
  <si>
    <t>Agustus 2015</t>
  </si>
  <si>
    <t>Penata, III/C</t>
  </si>
  <si>
    <t>Kaprodi Agribisnis</t>
  </si>
  <si>
    <t>Srikandi, S.Si., M.Si</t>
  </si>
  <si>
    <t>Kaprodi Biologi</t>
  </si>
  <si>
    <t>Jakarta, 16 Agustus 1966</t>
  </si>
  <si>
    <t>02005</t>
  </si>
  <si>
    <t>Nopember 1985</t>
  </si>
  <si>
    <t>Nina Ariesta, S.Pd., M.Si</t>
  </si>
  <si>
    <t>Kaprodi Kimia</t>
  </si>
  <si>
    <t>Klaten, 14 april 1991</t>
  </si>
  <si>
    <t>01145</t>
  </si>
  <si>
    <t>Mei 2016</t>
  </si>
  <si>
    <t>Penata Muda</t>
  </si>
  <si>
    <t>Abdul Rahman Rusli, S.Hut., M.Si</t>
  </si>
  <si>
    <t>Sungai Tampang, 8 Agustus 1969</t>
  </si>
  <si>
    <t>01061</t>
  </si>
  <si>
    <t>Nopember 1998</t>
  </si>
  <si>
    <t>Penata TK.I, III/d</t>
  </si>
  <si>
    <t>Ma’mun Hidayat, S.Kom</t>
  </si>
  <si>
    <t>Ka. TU Fak. Agroteknopreneur dan Agraria</t>
  </si>
  <si>
    <t>Bogor, 15 Juli 1980</t>
  </si>
  <si>
    <t>S1</t>
  </si>
  <si>
    <t>02058</t>
  </si>
  <si>
    <t>Juni 2000</t>
  </si>
  <si>
    <t>Penata Muda, II/a</t>
  </si>
  <si>
    <t>Sriyanih, S.Pd.</t>
  </si>
  <si>
    <t>Ka. TU Fak. Ekonomi &amp; Bisnis</t>
  </si>
  <si>
    <t>Bogor, 14 April 1982</t>
  </si>
  <si>
    <t>02077</t>
  </si>
  <si>
    <t>Agustus 2002</t>
  </si>
  <si>
    <t>Feby Amelia, SE</t>
  </si>
  <si>
    <t>Ka. TU Fak. Kehutanan dan Lingkungan</t>
  </si>
  <si>
    <t>Bogor, 02 Februari 2000</t>
  </si>
  <si>
    <t>02140</t>
  </si>
  <si>
    <t>Januari 2019</t>
  </si>
  <si>
    <t>Penata Muda II/a</t>
  </si>
  <si>
    <t>Wahyu Arif Hidayat, S.Hut</t>
  </si>
  <si>
    <t>Ka. TU Fak. Sains dan Teknologi</t>
  </si>
  <si>
    <t>Bogor, 19 Juli 1990</t>
  </si>
  <si>
    <t>02128</t>
  </si>
  <si>
    <t>Oktober 2017</t>
  </si>
  <si>
    <t>Penata Muda Tk. I, III/a</t>
  </si>
  <si>
    <t>Kustin Bintani Meigananti, S.Hut., M.Si</t>
  </si>
  <si>
    <t>Mdiun, 11 Mei 1973</t>
  </si>
  <si>
    <t>01128</t>
  </si>
  <si>
    <t>Agustus 2014</t>
  </si>
  <si>
    <t>Dosen Kehutanan</t>
  </si>
  <si>
    <t>Rea Dwiardhya Garini, S. Ak, ME</t>
  </si>
  <si>
    <t>Ahmad Yusron, SM</t>
  </si>
  <si>
    <t>Kabag. Akademik dan SIMAK</t>
  </si>
  <si>
    <t>Bogor, 20 April 1977</t>
  </si>
  <si>
    <t>02126</t>
  </si>
  <si>
    <t>Juli 2016</t>
  </si>
  <si>
    <t>Pengatur Muda, II/a</t>
  </si>
  <si>
    <t>Siti Martinah, S.Si</t>
  </si>
  <si>
    <t>Bogor, 10 September 1981</t>
  </si>
  <si>
    <t>02092</t>
  </si>
  <si>
    <t>Maret 2003</t>
  </si>
  <si>
    <t>Penata Muda, III/b</t>
  </si>
  <si>
    <t>Nuryati, S.Ak</t>
  </si>
  <si>
    <t>Bogor, 12 Oktober 1982</t>
  </si>
  <si>
    <t>02079</t>
  </si>
  <si>
    <t>Yuliawati, SP</t>
  </si>
  <si>
    <t>Bendara Pengeluaran</t>
  </si>
  <si>
    <t>Bogor, 22 Juli 1980</t>
  </si>
  <si>
    <t>02088</t>
  </si>
  <si>
    <t>Oktober 2002</t>
  </si>
  <si>
    <t>Pengatur, II/c</t>
  </si>
  <si>
    <t>Nani Isnaeni, SE</t>
  </si>
  <si>
    <t>Bogor, 28 Desember 1970</t>
  </si>
  <si>
    <t>02051</t>
  </si>
  <si>
    <t>Mei 1994</t>
  </si>
  <si>
    <t>Agus Kusnadi, SE</t>
  </si>
  <si>
    <t>Kabag. Rumah Tangga</t>
  </si>
  <si>
    <t>Cianjur, 11 Juni 1973</t>
  </si>
  <si>
    <t>Dwi Agus Sasongko, S.Hut., M.Si</t>
  </si>
  <si>
    <t>Bayumas, 1 September1979</t>
  </si>
  <si>
    <t>01157</t>
  </si>
  <si>
    <t>Ernah Susanti, S.Pd.</t>
  </si>
  <si>
    <t>Jakarta 12 April 1983</t>
  </si>
  <si>
    <t>02087</t>
  </si>
  <si>
    <t>Hamza Mursandi, S.Si, M.T</t>
  </si>
  <si>
    <t>Bogor, 30 Nopember 1998</t>
  </si>
  <si>
    <t>02146</t>
  </si>
  <si>
    <t>Maret 2021</t>
  </si>
  <si>
    <t>Ayi Ratnaningsih, S.Pt., S.Si</t>
  </si>
  <si>
    <t>Tasikmalaya, 8 April 1974</t>
  </si>
  <si>
    <t>02113</t>
  </si>
  <si>
    <t>November 2009</t>
  </si>
  <si>
    <t>Devy Susanty, S.Pd., M.Si</t>
  </si>
  <si>
    <t>Padang, 31 Mei 1989</t>
  </si>
  <si>
    <t>01143</t>
  </si>
  <si>
    <t>April 2016</t>
  </si>
  <si>
    <t>Ade Ayu Oksari, S.Si., M.Si</t>
  </si>
  <si>
    <t>Padang, 1 Oktober 1989</t>
  </si>
  <si>
    <t>01138</t>
  </si>
  <si>
    <t>I Gusti Ayu Manik W., M.Kes</t>
  </si>
  <si>
    <t>Kepala Lab. Biologi dan Kultur Jaringan merangkap Pengelola Jurnal Sains Natural</t>
  </si>
  <si>
    <t>Badung, Bali, 5 Agustus 1966</t>
  </si>
  <si>
    <t>Februari 2004</t>
  </si>
  <si>
    <t>Penata Muda Tk.I III/b</t>
  </si>
  <si>
    <t>Amri Yahya, S.Si., M.Si</t>
  </si>
  <si>
    <t>Pengelola Laboratorium Kimia dan Fisika</t>
  </si>
  <si>
    <t>Hendra Gunawan, SP</t>
  </si>
  <si>
    <t>Kepala Kebun Percobaan</t>
  </si>
  <si>
    <t>Bogor, 2 Januari 1977</t>
  </si>
  <si>
    <t>02101</t>
  </si>
  <si>
    <t>Mei 2005</t>
  </si>
  <si>
    <t>Dian Arrisujaya, S.Pd., M.Si</t>
  </si>
  <si>
    <t>Plt. Kepala Biro Administrasi Akademik dan Kemahasiswaan (BAAK)</t>
  </si>
  <si>
    <t>Dr. Suhendi, ST., S.Kom., MMSI</t>
  </si>
  <si>
    <t>Plt. Kepala Pusat Informasi dan  Komputer (Pustikom)</t>
  </si>
  <si>
    <t>Dr. Ratna Sari Hasibuan, S.Hut., M.Si</t>
  </si>
  <si>
    <t>Ketua Program Studi Kehutanan. FKL</t>
  </si>
  <si>
    <t>Sitti Hafsiah, SH., MH., C. Med</t>
  </si>
  <si>
    <t>Plt. Badan Pengelola Usaha (BPU)</t>
  </si>
  <si>
    <t>Kepala Bagian SPMI, Monitoring dan Evaluasi, dan Audit Mutu Internal, LP Mutu</t>
  </si>
  <si>
    <t>Kepala Bagian Usaha (Sewa Lab, Analisis, Rumah Kaca, Kebun Percobaan. BPU</t>
  </si>
  <si>
    <t>Kepala Bagian Administrasi, Kemahasiswaan dan PD-DIKTI, BAAK</t>
  </si>
  <si>
    <t>Kepala Bagian SDM dan Hukum, BAUU</t>
  </si>
  <si>
    <t>Kepala Bagian Perencanaan, Keuangan dan Verifikasi, BAUU</t>
  </si>
  <si>
    <t>Kepala Bagian Usaha Non Akademik (Penyewaan Kantin, Auditorium, dll). BPU</t>
  </si>
  <si>
    <t>Kepala Bagian Humas dan Protokoler, BHPI</t>
  </si>
  <si>
    <t>Kepala Bagian Program Non Reguler (KIP, RPL, dan Beasiswa lain), BAAK</t>
  </si>
  <si>
    <t>Kepala Bagian Kemahasiswaan dan Alumni. BKA</t>
  </si>
  <si>
    <t>Kepala Bagian Publikasi Ilmiah dan Kekayaan Intelektual. LPPM</t>
  </si>
  <si>
    <t>Kabag Kerjasama Nasional dan Internasional. BKA Merangkap sebagai Pengelola Jurnal abdi Inovatif.</t>
  </si>
  <si>
    <t>Dr. Hedar Rusman, S.E., Ak., M.M., CA., ACPA</t>
  </si>
  <si>
    <t>Kepala Bagian SPME, Monitoring dan Evaluasi, dan Audit Mutu Eksternal, LP Mutu</t>
  </si>
  <si>
    <t>Sandi Hasyono, S.I.Kom</t>
  </si>
  <si>
    <t>Plt. Kepala Bagian Promosi dan Media Sosial. BHPI</t>
  </si>
  <si>
    <t>Kepala Bagian Penelitian dan Pengabdian Kepada Masyarakat. LPPM</t>
  </si>
  <si>
    <t>Mohammad Fachruddin, S.Si., M.Si</t>
  </si>
  <si>
    <t>Plt. Kepala Bagian Pengelolaan Data (termasuk Website), (Pustikom)</t>
  </si>
  <si>
    <t>Early Siti Shabylla Zahra, S.S.I.</t>
  </si>
  <si>
    <t>Plt. Kepala Pustakawan</t>
  </si>
  <si>
    <t>DAFTAR KARYAWAN DI UNB</t>
  </si>
  <si>
    <t>Prof. Dr. Ir. Budi Mulyanto, M.Sc.</t>
  </si>
  <si>
    <t>Prof. Dr. Ucu Cahyana, M.Si</t>
  </si>
  <si>
    <t>Dr. Karmanah SP., M.Si</t>
  </si>
  <si>
    <t>Dr. Faizal Maad, Ir., M.Si</t>
  </si>
  <si>
    <t>Dr. Isbandriyati Mutmainah, SE., M.SE</t>
  </si>
  <si>
    <t>Dr. Lany Nurhayati, S.Si.,M.Si</t>
  </si>
  <si>
    <t>Prof. Dr. Ir. Luluk Setyaningsih, M.Si. IPU.</t>
  </si>
  <si>
    <t>Dr. Ir. Yunus Arifien, M.Si</t>
  </si>
  <si>
    <t>Surakarta, 4 Nopember `1961</t>
  </si>
  <si>
    <t>01002</t>
  </si>
  <si>
    <t>Maret 1985</t>
  </si>
  <si>
    <t>Dosen Pascasarjana</t>
  </si>
  <si>
    <t>…....................</t>
  </si>
  <si>
    <t>Dr. Lalu Solihin, M.Si</t>
  </si>
  <si>
    <t>Sari Anggarawati, Ir., M.Si</t>
  </si>
  <si>
    <t>Bangkalan, 6 April 1965</t>
  </si>
  <si>
    <t>01051</t>
  </si>
  <si>
    <t>Juni 1986</t>
  </si>
  <si>
    <t>September 2015</t>
  </si>
  <si>
    <t>Anak Agung Eka S., SP., M.Agb.</t>
  </si>
  <si>
    <t>Denpasar,7 April 1985</t>
  </si>
  <si>
    <t>01139</t>
  </si>
  <si>
    <t>Penata Muda Tk. I, II/b</t>
  </si>
  <si>
    <t>Sunardi, SP.,M.Si</t>
  </si>
  <si>
    <t>Sragen, 05 Mei 1978</t>
  </si>
  <si>
    <t>01160</t>
  </si>
  <si>
    <t>Februari 2020</t>
  </si>
  <si>
    <t>M. Sukri Nasution, SP., M.Si</t>
  </si>
  <si>
    <t>Harmoko Sukayat, SE.,M.Si</t>
  </si>
  <si>
    <t>Jakarta, 1 desember 1978</t>
  </si>
  <si>
    <t>01123</t>
  </si>
  <si>
    <t>Juli 2011</t>
  </si>
  <si>
    <t>Rumna, SE., M.Si</t>
  </si>
  <si>
    <t>Batu Kalung, 18 Maret 1969</t>
  </si>
  <si>
    <t>Mei 1999</t>
  </si>
  <si>
    <t>Heri Susanto, SE., MM</t>
  </si>
  <si>
    <t>Bogor, 16 April 1977</t>
  </si>
  <si>
    <t>01121</t>
  </si>
  <si>
    <t>April 2011</t>
  </si>
  <si>
    <t>Eha Hasni Wahidhani, SE., MM</t>
  </si>
  <si>
    <t>Bogor, 5 Agustus 1965</t>
  </si>
  <si>
    <t>01122</t>
  </si>
  <si>
    <t>Juni 2011</t>
  </si>
  <si>
    <t>Ahmad Zaid Mahfudi, SE., M.Ak</t>
  </si>
  <si>
    <t>Dewi Fitrianti, SE., M.Si</t>
  </si>
  <si>
    <t>Majalengka, 3 Oktober 1975</t>
  </si>
  <si>
    <t>02100</t>
  </si>
  <si>
    <t>Desember 2004</t>
  </si>
  <si>
    <t>Mulyana Gustira P, SE., M.Si</t>
  </si>
  <si>
    <t>Rahmat Irawan, SE., M.Ak., Ak., CA</t>
  </si>
  <si>
    <t>Ichwan Rahmanu, SE., MM</t>
  </si>
  <si>
    <t>Kediri, 04 Maret 1972</t>
  </si>
  <si>
    <t>01120</t>
  </si>
  <si>
    <t>Mei 2010</t>
  </si>
  <si>
    <t>Tun Susdiyanti, S.Hut.,M,Pd</t>
  </si>
  <si>
    <t>Wonogiri, 5 September 1967</t>
  </si>
  <si>
    <t>01046</t>
  </si>
  <si>
    <t>Oktober 1995</t>
  </si>
  <si>
    <t>Pembina Tk, IV/b</t>
  </si>
  <si>
    <t>Bambang Supriono, S.Hut., M.Si</t>
  </si>
  <si>
    <t>Suharyanto, SH., ME.</t>
  </si>
  <si>
    <t>Ina Lidiawati, Ir., M.Si</t>
  </si>
  <si>
    <t>Singkawang, 3 Agustus 1963</t>
  </si>
  <si>
    <t>01131</t>
  </si>
  <si>
    <t>Januari 2014</t>
  </si>
  <si>
    <t>Dr. James Sinurat, MURP</t>
  </si>
  <si>
    <t>Dr. Messalina L. Salampessy, S.Hut., M.Si</t>
  </si>
  <si>
    <t>Juni 2014</t>
  </si>
  <si>
    <t>Dr. T. Yuliana Purba., Ir.,SE., M.Si., M.M</t>
  </si>
  <si>
    <t>Nengsih Anen, S.Hut., M.Si</t>
  </si>
  <si>
    <t>Bandung, 12 Juni 1975</t>
  </si>
  <si>
    <t>01141</t>
  </si>
  <si>
    <t>Dr. Ir. Bambang Supriyanto, M.Si</t>
  </si>
  <si>
    <t>Dr. Ricson P. Hutagaol, S.Si., M.Si</t>
  </si>
  <si>
    <t xml:space="preserve"> Balige, 26 Januari 1970</t>
  </si>
  <si>
    <t>Mei 1998</t>
  </si>
  <si>
    <t>Nia Yuliani, Dra., M.Pd</t>
  </si>
  <si>
    <t>Sumedang, 17 Juli 1964</t>
  </si>
  <si>
    <t>Juli 1990</t>
  </si>
  <si>
    <t>Mario Zulhadi Amrullah, SP., M.Si</t>
  </si>
  <si>
    <t>Jambi, 23 Mei 1994</t>
  </si>
  <si>
    <t>Juli Winando Lumban Toruan, SP., M.Si</t>
  </si>
  <si>
    <t>Genduang, 01 Juli 1999</t>
  </si>
  <si>
    <t>Yani Mulyani, S. Si., M.Si</t>
  </si>
  <si>
    <t>Flavia Devi Anggraeni, S. P., M. Si</t>
  </si>
  <si>
    <t>Bogor, 16 Mei 1998</t>
  </si>
  <si>
    <t>Cianjur, 09 November 1990</t>
  </si>
  <si>
    <t>kontrak 06/12/2025</t>
  </si>
  <si>
    <t>kontrak 12/12/2025</t>
  </si>
  <si>
    <t>Bogor, 31 Agustus 1964</t>
  </si>
  <si>
    <t>Bogor, 05 Januari 1986</t>
  </si>
  <si>
    <t>Ambon, 24 September 1976</t>
  </si>
  <si>
    <t>Jakarta, 12 Mei 1987</t>
  </si>
  <si>
    <t>Penawangan, 04 Oktober 1963</t>
  </si>
  <si>
    <t xml:space="preserve">Dosen Agribisnis </t>
  </si>
  <si>
    <t xml:space="preserve">Dosen Agroteknologi </t>
  </si>
  <si>
    <t>Dosen Akuntansi</t>
  </si>
  <si>
    <t>Dosen Manajemen</t>
  </si>
  <si>
    <t>Dosen Kimia</t>
  </si>
  <si>
    <t>Dosen Biologi</t>
  </si>
  <si>
    <t>Dosen Agroteknologi</t>
  </si>
  <si>
    <t>Daftar Dosen AUNB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</si>
</sst>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rgb="FF676A6C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indent="2"/>
    </xf>
    <xf numFmtId="14" fontId="2" fillId="0" borderId="1" xfId="0" applyNumberFormat="1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vertical="center"/>
    </xf>
    <xf numFmtId="0" fontId="2" fillId="0" borderId="0" xfId="0" applyFont="1" applyFill="1" applyAlignment="1">
      <alignment horizontal="justify" vertical="center"/>
    </xf>
    <xf numFmtId="17" fontId="2" fillId="0" borderId="1" xfId="0" quotePrefix="1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justify" vertical="center" wrapText="1"/>
    </xf>
    <xf numFmtId="17" fontId="2" fillId="0" borderId="1" xfId="0" quotePrefix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5" fontId="2" fillId="0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2" xfId="0" quotePrefix="1" applyFont="1" applyFill="1" applyBorder="1" applyAlignment="1">
      <alignment vertical="center"/>
    </xf>
    <xf numFmtId="17" fontId="2" fillId="0" borderId="2" xfId="0" quotePrefix="1" applyNumberFormat="1" applyFont="1" applyFill="1" applyBorder="1" applyAlignment="1">
      <alignment vertical="center"/>
    </xf>
    <xf numFmtId="0" fontId="2" fillId="0" borderId="0" xfId="0" quotePrefix="1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vertical="center"/>
    </xf>
    <xf numFmtId="0" fontId="3" fillId="0" borderId="1" xfId="0" applyFont="1" applyBorder="1"/>
    <xf numFmtId="15" fontId="4" fillId="0" borderId="0" xfId="0" applyNumberFormat="1" applyFont="1"/>
    <xf numFmtId="15" fontId="5" fillId="0" borderId="1" xfId="0" applyNumberFormat="1" applyFont="1" applyBorder="1" applyAlignment="1">
      <alignment horizontal="left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Alignment="1">
      <alignment horizontal="center"/>
    </xf>
    <xf numFmtId="0" fontId="1" fillId="0" borderId="2" xfId="0" applyFont="1" applyBorder="1" applyAlignment="1">
      <alignment vertical="center" wrapText="1"/>
    </xf>
    <xf numFmtId="14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left" vertical="center"/>
    </xf>
    <xf numFmtId="0" fontId="2" fillId="0" borderId="10" xfId="0" applyNumberFormat="1" applyFont="1" applyFill="1" applyBorder="1" applyAlignment="1">
      <alignment horizontal="left" vertical="center"/>
    </xf>
    <xf numFmtId="0" fontId="2" fillId="0" borderId="8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tabSelected="1" topLeftCell="A19" zoomScale="89" zoomScaleNormal="89" workbookViewId="0">
      <selection activeCell="C59" sqref="C59"/>
    </sheetView>
  </sheetViews>
  <sheetFormatPr defaultColWidth="9.140625" defaultRowHeight="15.75" x14ac:dyDescent="0.25"/>
  <cols>
    <col min="1" max="1" width="3.85546875" style="2" bestFit="1" customWidth="1"/>
    <col min="2" max="2" width="50.42578125" style="3" bestFit="1" customWidth="1"/>
    <col min="3" max="3" width="74.5703125" style="3" bestFit="1" customWidth="1"/>
    <col min="4" max="4" width="14.5703125" style="3" bestFit="1" customWidth="1"/>
    <col min="5" max="5" width="11.28515625" style="4" bestFit="1" customWidth="1"/>
    <col min="6" max="6" width="33" style="3" bestFit="1" customWidth="1"/>
    <col min="7" max="7" width="10.5703125" style="4" bestFit="1" customWidth="1"/>
    <col min="8" max="8" width="6.7109375" style="4" bestFit="1" customWidth="1"/>
    <col min="9" max="9" width="15.7109375" style="3" bestFit="1" customWidth="1"/>
    <col min="10" max="10" width="27.140625" style="3" bestFit="1" customWidth="1"/>
    <col min="11" max="11" width="12.85546875" style="3" bestFit="1" customWidth="1"/>
    <col min="12" max="12" width="5.5703125" style="3" bestFit="1" customWidth="1"/>
    <col min="13" max="13" width="3.28515625" style="4" bestFit="1" customWidth="1"/>
    <col min="14" max="14" width="76.85546875" style="3" customWidth="1"/>
    <col min="15" max="16" width="9.140625" style="2"/>
    <col min="17" max="17" width="16.5703125" style="2" bestFit="1" customWidth="1"/>
    <col min="18" max="19" width="9.140625" style="2"/>
    <col min="20" max="20" width="36.5703125" style="2" customWidth="1"/>
    <col min="21" max="16384" width="9.140625" style="2"/>
  </cols>
  <sheetData>
    <row r="1" spans="1:20" ht="15" customHeight="1" x14ac:dyDescent="0.25">
      <c r="A1" s="40" t="s">
        <v>222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20" ht="15" customHeight="1" x14ac:dyDescent="0.25"/>
    <row r="3" spans="1:20" ht="32.25" customHeight="1" x14ac:dyDescent="0.25">
      <c r="A3" s="5" t="s">
        <v>0</v>
      </c>
      <c r="B3" s="5" t="s">
        <v>1</v>
      </c>
      <c r="C3" s="5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/>
      <c r="M3" s="5"/>
    </row>
    <row r="4" spans="1:20" ht="20.100000000000001" customHeight="1" x14ac:dyDescent="0.25">
      <c r="A4" s="6">
        <v>1</v>
      </c>
      <c r="B4" s="1" t="s">
        <v>223</v>
      </c>
      <c r="C4" s="1" t="s">
        <v>11</v>
      </c>
      <c r="D4" s="1"/>
      <c r="E4" s="5"/>
      <c r="F4" s="1"/>
      <c r="G4" s="5" t="s">
        <v>12</v>
      </c>
      <c r="H4" s="5"/>
      <c r="I4" s="1"/>
      <c r="J4" s="1"/>
      <c r="K4" s="1"/>
      <c r="L4" s="1"/>
      <c r="M4" s="5">
        <f t="shared" ref="M4:M12" si="0">L4-K4</f>
        <v>0</v>
      </c>
      <c r="T4" s="7"/>
    </row>
    <row r="5" spans="1:20" ht="20.100000000000001" customHeight="1" x14ac:dyDescent="0.25">
      <c r="A5" s="6">
        <v>2</v>
      </c>
      <c r="B5" s="1" t="s">
        <v>224</v>
      </c>
      <c r="C5" s="1" t="s">
        <v>13</v>
      </c>
      <c r="D5" s="8">
        <v>45546</v>
      </c>
      <c r="E5" s="5" t="s">
        <v>14</v>
      </c>
      <c r="F5" s="1"/>
      <c r="G5" s="5" t="s">
        <v>12</v>
      </c>
      <c r="H5" s="5"/>
      <c r="I5" s="1"/>
      <c r="J5" s="1"/>
      <c r="K5" s="1"/>
      <c r="L5" s="1"/>
      <c r="M5" s="5">
        <f t="shared" si="0"/>
        <v>0</v>
      </c>
      <c r="T5" s="7"/>
    </row>
    <row r="6" spans="1:20" ht="20.100000000000001" customHeight="1" x14ac:dyDescent="0.25">
      <c r="A6" s="6">
        <v>3</v>
      </c>
      <c r="B6" s="18" t="s">
        <v>15</v>
      </c>
      <c r="C6" s="1" t="s">
        <v>16</v>
      </c>
      <c r="D6" s="8">
        <v>45546</v>
      </c>
      <c r="E6" s="5" t="s">
        <v>14</v>
      </c>
      <c r="F6" s="18"/>
      <c r="G6" s="5" t="s">
        <v>17</v>
      </c>
      <c r="H6" s="5"/>
      <c r="I6" s="18"/>
      <c r="J6" s="18"/>
      <c r="K6" s="18"/>
      <c r="L6" s="18"/>
      <c r="M6" s="5">
        <f t="shared" si="0"/>
        <v>0</v>
      </c>
      <c r="T6" s="7"/>
    </row>
    <row r="7" spans="1:20" ht="20.100000000000001" customHeight="1" x14ac:dyDescent="0.25">
      <c r="A7" s="6">
        <v>4</v>
      </c>
      <c r="B7" s="1" t="s">
        <v>225</v>
      </c>
      <c r="C7" s="1" t="s">
        <v>18</v>
      </c>
      <c r="D7" s="8">
        <v>44501</v>
      </c>
      <c r="E7" s="22">
        <v>46328</v>
      </c>
      <c r="F7" s="1" t="s">
        <v>19</v>
      </c>
      <c r="G7" s="5" t="s">
        <v>20</v>
      </c>
      <c r="H7" s="9" t="s">
        <v>21</v>
      </c>
      <c r="I7" s="10" t="s">
        <v>22</v>
      </c>
      <c r="J7" s="1" t="s">
        <v>23</v>
      </c>
      <c r="K7" s="1">
        <v>1970</v>
      </c>
      <c r="L7" s="1">
        <v>2025</v>
      </c>
      <c r="M7" s="5">
        <f t="shared" si="0"/>
        <v>55</v>
      </c>
      <c r="T7" s="11"/>
    </row>
    <row r="8" spans="1:20" ht="20.100000000000001" customHeight="1" x14ac:dyDescent="0.25">
      <c r="A8" s="6">
        <v>5</v>
      </c>
      <c r="B8" s="1" t="s">
        <v>226</v>
      </c>
      <c r="C8" s="1" t="s">
        <v>24</v>
      </c>
      <c r="D8" s="1"/>
      <c r="E8" s="5"/>
      <c r="F8" s="1" t="s">
        <v>25</v>
      </c>
      <c r="G8" s="5" t="s">
        <v>20</v>
      </c>
      <c r="H8" s="5"/>
      <c r="I8" s="10" t="s">
        <v>26</v>
      </c>
      <c r="J8" s="1" t="s">
        <v>27</v>
      </c>
      <c r="K8" s="1">
        <v>1961</v>
      </c>
      <c r="L8" s="1">
        <v>2025</v>
      </c>
      <c r="M8" s="5">
        <f t="shared" si="0"/>
        <v>64</v>
      </c>
      <c r="T8" s="11"/>
    </row>
    <row r="9" spans="1:20" ht="20.100000000000001" customHeight="1" x14ac:dyDescent="0.25">
      <c r="A9" s="6">
        <v>6</v>
      </c>
      <c r="B9" s="1" t="s">
        <v>227</v>
      </c>
      <c r="C9" s="1" t="s">
        <v>28</v>
      </c>
      <c r="D9" s="8">
        <v>45880</v>
      </c>
      <c r="E9" s="22">
        <v>47340</v>
      </c>
      <c r="F9" s="1" t="s">
        <v>29</v>
      </c>
      <c r="G9" s="5" t="s">
        <v>20</v>
      </c>
      <c r="H9" s="9" t="s">
        <v>30</v>
      </c>
      <c r="I9" s="10" t="s">
        <v>31</v>
      </c>
      <c r="J9" s="1" t="s">
        <v>32</v>
      </c>
      <c r="K9" s="1">
        <v>1968</v>
      </c>
      <c r="L9" s="1">
        <v>2025</v>
      </c>
      <c r="M9" s="5">
        <f t="shared" si="0"/>
        <v>57</v>
      </c>
    </row>
    <row r="10" spans="1:20" ht="20.100000000000001" customHeight="1" x14ac:dyDescent="0.25">
      <c r="A10" s="6">
        <v>7</v>
      </c>
      <c r="B10" s="1" t="s">
        <v>228</v>
      </c>
      <c r="C10" s="1" t="s">
        <v>33</v>
      </c>
      <c r="D10" s="8">
        <v>45880</v>
      </c>
      <c r="E10" s="22">
        <v>47340</v>
      </c>
      <c r="F10" s="1" t="s">
        <v>34</v>
      </c>
      <c r="G10" s="5" t="s">
        <v>20</v>
      </c>
      <c r="H10" s="9" t="s">
        <v>35</v>
      </c>
      <c r="I10" s="10" t="s">
        <v>36</v>
      </c>
      <c r="J10" s="1" t="s">
        <v>27</v>
      </c>
      <c r="K10" s="1">
        <v>1968</v>
      </c>
      <c r="L10" s="1">
        <v>2025</v>
      </c>
      <c r="M10" s="5">
        <f t="shared" si="0"/>
        <v>57</v>
      </c>
    </row>
    <row r="11" spans="1:20" ht="20.100000000000001" customHeight="1" x14ac:dyDescent="0.25">
      <c r="A11" s="6">
        <v>8</v>
      </c>
      <c r="B11" s="1" t="s">
        <v>229</v>
      </c>
      <c r="C11" s="1" t="s">
        <v>37</v>
      </c>
      <c r="D11" s="1"/>
      <c r="E11" s="5"/>
      <c r="F11" s="1" t="s">
        <v>38</v>
      </c>
      <c r="G11" s="5" t="s">
        <v>39</v>
      </c>
      <c r="H11" s="9" t="s">
        <v>40</v>
      </c>
      <c r="I11" s="10" t="s">
        <v>41</v>
      </c>
      <c r="J11" s="1" t="s">
        <v>42</v>
      </c>
      <c r="K11" s="1">
        <v>1968</v>
      </c>
      <c r="L11" s="1">
        <v>2025</v>
      </c>
      <c r="M11" s="5">
        <f t="shared" si="0"/>
        <v>57</v>
      </c>
    </row>
    <row r="12" spans="1:20" ht="20.100000000000001" customHeight="1" x14ac:dyDescent="0.25">
      <c r="A12" s="6">
        <v>9</v>
      </c>
      <c r="B12" s="1" t="s">
        <v>43</v>
      </c>
      <c r="C12" s="1" t="s">
        <v>44</v>
      </c>
      <c r="D12" s="8">
        <v>45546</v>
      </c>
      <c r="E12" s="5" t="s">
        <v>14</v>
      </c>
      <c r="F12" s="1" t="s">
        <v>45</v>
      </c>
      <c r="G12" s="5" t="s">
        <v>17</v>
      </c>
      <c r="H12" s="5"/>
      <c r="I12" s="1"/>
      <c r="J12" s="1" t="s">
        <v>46</v>
      </c>
      <c r="K12" s="1">
        <v>1959</v>
      </c>
      <c r="L12" s="1">
        <v>2025</v>
      </c>
      <c r="M12" s="5">
        <f t="shared" si="0"/>
        <v>66</v>
      </c>
    </row>
    <row r="13" spans="1:20" x14ac:dyDescent="0.25">
      <c r="A13" s="6">
        <v>10</v>
      </c>
      <c r="B13" s="1" t="s">
        <v>99</v>
      </c>
      <c r="C13" s="19" t="s">
        <v>195</v>
      </c>
      <c r="D13" s="8">
        <v>45332</v>
      </c>
      <c r="E13" s="22">
        <v>46802</v>
      </c>
      <c r="F13" s="1" t="s">
        <v>100</v>
      </c>
      <c r="G13" s="5" t="s">
        <v>17</v>
      </c>
      <c r="H13" s="9" t="s">
        <v>101</v>
      </c>
      <c r="I13" s="10" t="s">
        <v>102</v>
      </c>
      <c r="J13" s="1" t="s">
        <v>103</v>
      </c>
      <c r="K13" s="1">
        <v>1969</v>
      </c>
      <c r="L13" s="1">
        <v>2025</v>
      </c>
      <c r="M13" s="5">
        <f>L13-K13</f>
        <v>56</v>
      </c>
    </row>
    <row r="14" spans="1:20" ht="20.100000000000001" customHeight="1" x14ac:dyDescent="0.25">
      <c r="A14" s="6">
        <v>11</v>
      </c>
      <c r="B14" s="1" t="s">
        <v>50</v>
      </c>
      <c r="C14" s="1" t="s">
        <v>51</v>
      </c>
      <c r="D14" s="8"/>
      <c r="E14" s="5"/>
      <c r="F14" s="1" t="s">
        <v>52</v>
      </c>
      <c r="G14" s="5" t="s">
        <v>17</v>
      </c>
      <c r="H14" s="9" t="s">
        <v>53</v>
      </c>
      <c r="I14" s="10" t="s">
        <v>54</v>
      </c>
      <c r="J14" s="1" t="s">
        <v>42</v>
      </c>
      <c r="K14" s="1">
        <v>1968</v>
      </c>
      <c r="L14" s="1">
        <v>2025</v>
      </c>
      <c r="M14" s="5">
        <f>L14-K14</f>
        <v>57</v>
      </c>
    </row>
    <row r="15" spans="1:20" ht="20.100000000000001" customHeight="1" x14ac:dyDescent="0.25">
      <c r="A15" s="6">
        <v>12</v>
      </c>
      <c r="B15" s="1" t="s">
        <v>55</v>
      </c>
      <c r="C15" s="1" t="s">
        <v>56</v>
      </c>
      <c r="D15" s="8">
        <v>44501</v>
      </c>
      <c r="E15" s="22">
        <v>46326</v>
      </c>
      <c r="F15" s="1" t="s">
        <v>57</v>
      </c>
      <c r="G15" s="5" t="s">
        <v>17</v>
      </c>
      <c r="H15" s="5"/>
      <c r="I15" s="10" t="s">
        <v>58</v>
      </c>
      <c r="J15" s="1" t="s">
        <v>27</v>
      </c>
      <c r="K15" s="1">
        <v>1967</v>
      </c>
      <c r="L15" s="1">
        <v>2025</v>
      </c>
      <c r="M15" s="5">
        <f>L15-K15</f>
        <v>58</v>
      </c>
    </row>
    <row r="16" spans="1:20" ht="20.100000000000001" customHeight="1" x14ac:dyDescent="0.25">
      <c r="A16" s="6">
        <v>13</v>
      </c>
      <c r="B16" s="1" t="s">
        <v>59</v>
      </c>
      <c r="C16" s="1" t="s">
        <v>60</v>
      </c>
      <c r="D16" s="8">
        <v>45031</v>
      </c>
      <c r="E16" s="22">
        <v>46802</v>
      </c>
      <c r="F16" s="1" t="s">
        <v>61</v>
      </c>
      <c r="G16" s="5" t="s">
        <v>20</v>
      </c>
      <c r="H16" s="9" t="s">
        <v>62</v>
      </c>
      <c r="I16" s="12" t="s">
        <v>63</v>
      </c>
      <c r="J16" s="1" t="s">
        <v>64</v>
      </c>
      <c r="K16" s="1">
        <v>1976</v>
      </c>
      <c r="L16" s="1">
        <v>2025</v>
      </c>
      <c r="M16" s="5">
        <f>L16-K16</f>
        <v>49</v>
      </c>
    </row>
    <row r="17" spans="1:17" x14ac:dyDescent="0.25">
      <c r="A17" s="6">
        <v>14</v>
      </c>
      <c r="B17" s="1" t="s">
        <v>65</v>
      </c>
      <c r="C17" s="1" t="s">
        <v>66</v>
      </c>
      <c r="D17" s="8">
        <v>45244</v>
      </c>
      <c r="E17" s="22">
        <v>46802</v>
      </c>
      <c r="F17" s="1" t="s">
        <v>67</v>
      </c>
      <c r="G17" s="5" t="s">
        <v>20</v>
      </c>
      <c r="H17" s="5"/>
      <c r="I17" s="10" t="s">
        <v>68</v>
      </c>
      <c r="J17" s="1" t="s">
        <v>27</v>
      </c>
      <c r="K17" s="1">
        <v>1965</v>
      </c>
      <c r="L17" s="1">
        <v>2025</v>
      </c>
      <c r="M17" s="5">
        <f>L17-K17</f>
        <v>60</v>
      </c>
    </row>
    <row r="18" spans="1:17" x14ac:dyDescent="0.25">
      <c r="A18" s="6">
        <v>15</v>
      </c>
      <c r="B18" s="20" t="s">
        <v>196</v>
      </c>
      <c r="C18" s="20" t="s">
        <v>197</v>
      </c>
      <c r="D18" s="8">
        <v>45993</v>
      </c>
      <c r="E18" s="5"/>
      <c r="F18" s="1"/>
      <c r="G18" s="5"/>
      <c r="H18" s="5"/>
      <c r="I18" s="1"/>
      <c r="J18" s="1"/>
      <c r="K18" s="1"/>
      <c r="L18" s="1"/>
      <c r="M18" s="5"/>
    </row>
    <row r="19" spans="1:17" x14ac:dyDescent="0.25">
      <c r="A19" s="6">
        <v>16</v>
      </c>
      <c r="B19" s="20" t="s">
        <v>200</v>
      </c>
      <c r="C19" s="20" t="s">
        <v>201</v>
      </c>
      <c r="D19" s="8">
        <v>45994</v>
      </c>
      <c r="E19" s="5"/>
      <c r="F19" s="1"/>
      <c r="G19" s="5"/>
      <c r="H19" s="5"/>
      <c r="I19" s="1"/>
      <c r="J19" s="1"/>
      <c r="K19" s="1"/>
      <c r="L19" s="1"/>
      <c r="M19" s="5"/>
    </row>
    <row r="20" spans="1:17" x14ac:dyDescent="0.25">
      <c r="A20" s="6">
        <v>17</v>
      </c>
      <c r="B20" s="1" t="s">
        <v>69</v>
      </c>
      <c r="C20" s="1" t="s">
        <v>70</v>
      </c>
      <c r="D20" s="8">
        <v>44501</v>
      </c>
      <c r="E20" s="22">
        <v>46326</v>
      </c>
      <c r="F20" s="1"/>
      <c r="G20" s="5" t="s">
        <v>20</v>
      </c>
      <c r="H20" s="5"/>
      <c r="I20" s="1"/>
      <c r="J20" s="1"/>
      <c r="K20" s="1"/>
      <c r="L20" s="1"/>
      <c r="M20" s="5">
        <v>0</v>
      </c>
    </row>
    <row r="21" spans="1:17" x14ac:dyDescent="0.25">
      <c r="A21" s="6">
        <v>18</v>
      </c>
      <c r="B21" s="1" t="s">
        <v>71</v>
      </c>
      <c r="C21" s="1" t="s">
        <v>72</v>
      </c>
      <c r="D21" s="1"/>
      <c r="E21" s="5"/>
      <c r="F21" s="1" t="s">
        <v>73</v>
      </c>
      <c r="G21" s="5" t="s">
        <v>17</v>
      </c>
      <c r="H21" s="9" t="s">
        <v>74</v>
      </c>
      <c r="I21" s="10" t="s">
        <v>75</v>
      </c>
      <c r="J21" s="1" t="s">
        <v>42</v>
      </c>
      <c r="K21" s="1">
        <v>1981</v>
      </c>
      <c r="L21" s="1">
        <v>2025</v>
      </c>
      <c r="M21" s="5">
        <f t="shared" ref="M21:M25" si="1">L21-K21</f>
        <v>44</v>
      </c>
    </row>
    <row r="22" spans="1:17" x14ac:dyDescent="0.25">
      <c r="A22" s="6">
        <v>19</v>
      </c>
      <c r="B22" s="13" t="s">
        <v>76</v>
      </c>
      <c r="C22" s="1" t="s">
        <v>77</v>
      </c>
      <c r="D22" s="1"/>
      <c r="E22" s="5"/>
      <c r="F22" s="13" t="s">
        <v>78</v>
      </c>
      <c r="G22" s="14" t="s">
        <v>17</v>
      </c>
      <c r="H22" s="15" t="s">
        <v>79</v>
      </c>
      <c r="I22" s="16" t="s">
        <v>80</v>
      </c>
      <c r="J22" s="13" t="s">
        <v>42</v>
      </c>
      <c r="K22" s="13">
        <v>1992</v>
      </c>
      <c r="L22" s="13">
        <v>2025</v>
      </c>
      <c r="M22" s="5">
        <f t="shared" si="1"/>
        <v>33</v>
      </c>
    </row>
    <row r="23" spans="1:17" x14ac:dyDescent="0.25">
      <c r="A23" s="6">
        <v>20</v>
      </c>
      <c r="B23" s="13" t="s">
        <v>81</v>
      </c>
      <c r="C23" s="1" t="s">
        <v>82</v>
      </c>
      <c r="D23" s="21" t="s">
        <v>83</v>
      </c>
      <c r="E23" s="5" t="s">
        <v>14</v>
      </c>
      <c r="F23" s="13" t="s">
        <v>84</v>
      </c>
      <c r="G23" s="14" t="s">
        <v>20</v>
      </c>
      <c r="H23" s="14"/>
      <c r="I23" s="16" t="s">
        <v>85</v>
      </c>
      <c r="J23" s="13" t="s">
        <v>86</v>
      </c>
      <c r="K23" s="13">
        <v>1965</v>
      </c>
      <c r="L23" s="13">
        <v>2025</v>
      </c>
      <c r="M23" s="5">
        <f t="shared" si="1"/>
        <v>60</v>
      </c>
    </row>
    <row r="24" spans="1:17" ht="20.100000000000001" customHeight="1" x14ac:dyDescent="0.25">
      <c r="A24" s="6">
        <v>21</v>
      </c>
      <c r="B24" s="1" t="s">
        <v>47</v>
      </c>
      <c r="C24" s="1" t="s">
        <v>87</v>
      </c>
      <c r="D24" s="8">
        <v>44151</v>
      </c>
      <c r="E24" s="22">
        <v>45976</v>
      </c>
      <c r="F24" s="1" t="s">
        <v>48</v>
      </c>
      <c r="G24" s="5" t="s">
        <v>17</v>
      </c>
      <c r="H24" s="5"/>
      <c r="I24" s="10" t="s">
        <v>49</v>
      </c>
      <c r="J24" s="1" t="s">
        <v>27</v>
      </c>
      <c r="K24" s="1">
        <v>1964</v>
      </c>
      <c r="L24" s="1">
        <v>2025</v>
      </c>
      <c r="M24" s="5">
        <f>L24-K24</f>
        <v>61</v>
      </c>
    </row>
    <row r="25" spans="1:17" x14ac:dyDescent="0.25">
      <c r="A25" s="6">
        <v>22</v>
      </c>
      <c r="B25" s="1" t="s">
        <v>88</v>
      </c>
      <c r="C25" s="1" t="s">
        <v>89</v>
      </c>
      <c r="D25" s="21" t="s">
        <v>83</v>
      </c>
      <c r="E25" s="5" t="s">
        <v>14</v>
      </c>
      <c r="F25" s="1" t="s">
        <v>90</v>
      </c>
      <c r="G25" s="5" t="s">
        <v>17</v>
      </c>
      <c r="H25" s="9" t="s">
        <v>91</v>
      </c>
      <c r="I25" s="12" t="s">
        <v>92</v>
      </c>
      <c r="J25" s="1" t="s">
        <v>27</v>
      </c>
      <c r="K25" s="1">
        <v>1966</v>
      </c>
      <c r="L25" s="1">
        <v>2025</v>
      </c>
      <c r="M25" s="5">
        <f t="shared" si="1"/>
        <v>59</v>
      </c>
    </row>
    <row r="26" spans="1:17" x14ac:dyDescent="0.25">
      <c r="A26" s="6">
        <v>23</v>
      </c>
      <c r="B26" s="1" t="s">
        <v>93</v>
      </c>
      <c r="C26" s="1" t="s">
        <v>94</v>
      </c>
      <c r="D26" s="1"/>
      <c r="E26" s="5"/>
      <c r="F26" s="1" t="s">
        <v>95</v>
      </c>
      <c r="G26" s="5" t="s">
        <v>17</v>
      </c>
      <c r="H26" s="9" t="s">
        <v>96</v>
      </c>
      <c r="I26" s="12" t="s">
        <v>97</v>
      </c>
      <c r="J26" s="1" t="s">
        <v>98</v>
      </c>
      <c r="K26" s="1">
        <v>1991</v>
      </c>
      <c r="L26" s="1">
        <v>2025</v>
      </c>
      <c r="M26" s="5">
        <v>31</v>
      </c>
    </row>
    <row r="27" spans="1:17" x14ac:dyDescent="0.25">
      <c r="A27" s="6">
        <v>24</v>
      </c>
      <c r="B27" s="20" t="s">
        <v>198</v>
      </c>
      <c r="C27" s="20" t="s">
        <v>199</v>
      </c>
      <c r="D27" s="1"/>
      <c r="E27" s="5"/>
      <c r="F27" s="1"/>
      <c r="G27" s="5"/>
      <c r="H27" s="5"/>
      <c r="I27" s="1"/>
      <c r="J27" s="1"/>
      <c r="K27" s="1"/>
      <c r="L27" s="1"/>
      <c r="M27" s="5"/>
    </row>
    <row r="28" spans="1:17" s="3" customFormat="1" x14ac:dyDescent="0.25">
      <c r="A28" s="6">
        <v>25</v>
      </c>
      <c r="B28" s="1" t="s">
        <v>104</v>
      </c>
      <c r="C28" s="1" t="s">
        <v>105</v>
      </c>
      <c r="D28" s="1"/>
      <c r="E28" s="5"/>
      <c r="F28" s="1" t="s">
        <v>106</v>
      </c>
      <c r="G28" s="5" t="s">
        <v>107</v>
      </c>
      <c r="H28" s="9" t="s">
        <v>108</v>
      </c>
      <c r="I28" s="10" t="s">
        <v>109</v>
      </c>
      <c r="J28" s="1" t="s">
        <v>110</v>
      </c>
      <c r="K28" s="1">
        <v>1980</v>
      </c>
      <c r="L28" s="1">
        <v>2025</v>
      </c>
      <c r="M28" s="5">
        <f>L28-K28</f>
        <v>45</v>
      </c>
    </row>
    <row r="29" spans="1:17" s="3" customFormat="1" x14ac:dyDescent="0.25">
      <c r="A29" s="6">
        <v>26</v>
      </c>
      <c r="B29" s="1" t="s">
        <v>111</v>
      </c>
      <c r="C29" s="1" t="s">
        <v>112</v>
      </c>
      <c r="D29" s="1"/>
      <c r="E29" s="5"/>
      <c r="F29" s="1" t="s">
        <v>113</v>
      </c>
      <c r="G29" s="5" t="s">
        <v>107</v>
      </c>
      <c r="H29" s="9" t="s">
        <v>114</v>
      </c>
      <c r="I29" s="12" t="s">
        <v>115</v>
      </c>
      <c r="J29" s="1" t="s">
        <v>98</v>
      </c>
      <c r="K29" s="1">
        <v>1982</v>
      </c>
      <c r="L29" s="1">
        <v>2025</v>
      </c>
      <c r="M29" s="5">
        <v>43</v>
      </c>
    </row>
    <row r="30" spans="1:17" x14ac:dyDescent="0.25">
      <c r="A30" s="6">
        <v>27</v>
      </c>
      <c r="B30" s="1" t="s">
        <v>116</v>
      </c>
      <c r="C30" s="1" t="s">
        <v>117</v>
      </c>
      <c r="D30" s="21">
        <v>45875</v>
      </c>
      <c r="E30" s="5" t="s">
        <v>14</v>
      </c>
      <c r="F30" s="1" t="s">
        <v>118</v>
      </c>
      <c r="G30" s="5" t="s">
        <v>107</v>
      </c>
      <c r="H30" s="9" t="s">
        <v>119</v>
      </c>
      <c r="I30" s="10" t="s">
        <v>120</v>
      </c>
      <c r="J30" s="1" t="s">
        <v>121</v>
      </c>
      <c r="K30" s="1">
        <v>2000</v>
      </c>
      <c r="L30" s="1">
        <v>2025</v>
      </c>
      <c r="M30" s="5">
        <f>L30-K30</f>
        <v>25</v>
      </c>
    </row>
    <row r="31" spans="1:17" s="3" customFormat="1" x14ac:dyDescent="0.25">
      <c r="A31" s="6">
        <v>28</v>
      </c>
      <c r="B31" s="1" t="s">
        <v>122</v>
      </c>
      <c r="C31" s="1" t="s">
        <v>123</v>
      </c>
      <c r="D31" s="1"/>
      <c r="E31" s="5"/>
      <c r="F31" s="1" t="s">
        <v>124</v>
      </c>
      <c r="G31" s="5" t="s">
        <v>107</v>
      </c>
      <c r="H31" s="9" t="s">
        <v>125</v>
      </c>
      <c r="I31" s="12" t="s">
        <v>126</v>
      </c>
      <c r="J31" s="1" t="s">
        <v>127</v>
      </c>
      <c r="K31" s="1">
        <v>1990</v>
      </c>
      <c r="L31" s="1">
        <v>2025</v>
      </c>
      <c r="M31" s="5">
        <v>35</v>
      </c>
    </row>
    <row r="32" spans="1:17" s="3" customFormat="1" x14ac:dyDescent="0.25">
      <c r="A32" s="6">
        <v>29</v>
      </c>
      <c r="B32" s="1" t="s">
        <v>128</v>
      </c>
      <c r="C32" s="20" t="s">
        <v>202</v>
      </c>
      <c r="D32" s="21" t="s">
        <v>83</v>
      </c>
      <c r="E32" s="5" t="s">
        <v>14</v>
      </c>
      <c r="F32" s="1" t="s">
        <v>129</v>
      </c>
      <c r="G32" s="5" t="s">
        <v>17</v>
      </c>
      <c r="H32" s="9" t="s">
        <v>130</v>
      </c>
      <c r="I32" s="10" t="s">
        <v>131</v>
      </c>
      <c r="J32" s="1" t="s">
        <v>86</v>
      </c>
      <c r="K32" s="1">
        <v>1973</v>
      </c>
      <c r="L32" s="1">
        <v>2025</v>
      </c>
      <c r="M32" s="5">
        <f t="shared" ref="M32:M42" si="2">L32-K32</f>
        <v>52</v>
      </c>
      <c r="Q32" s="3" t="s">
        <v>132</v>
      </c>
    </row>
    <row r="33" spans="1:13" x14ac:dyDescent="0.25">
      <c r="A33" s="6">
        <v>30</v>
      </c>
      <c r="B33" s="1" t="s">
        <v>133</v>
      </c>
      <c r="C33" s="20" t="s">
        <v>203</v>
      </c>
      <c r="D33" s="21" t="s">
        <v>83</v>
      </c>
      <c r="E33" s="5" t="s">
        <v>14</v>
      </c>
      <c r="F33" s="1"/>
      <c r="G33" s="5" t="s">
        <v>17</v>
      </c>
      <c r="H33" s="5"/>
      <c r="I33" s="1"/>
      <c r="J33" s="1"/>
      <c r="K33" s="1"/>
      <c r="L33" s="1"/>
      <c r="M33" s="5">
        <f t="shared" si="2"/>
        <v>0</v>
      </c>
    </row>
    <row r="34" spans="1:13" x14ac:dyDescent="0.25">
      <c r="A34" s="6">
        <v>31</v>
      </c>
      <c r="B34" s="1" t="s">
        <v>134</v>
      </c>
      <c r="C34" s="1" t="s">
        <v>135</v>
      </c>
      <c r="D34" s="1"/>
      <c r="E34" s="5"/>
      <c r="F34" s="1" t="s">
        <v>136</v>
      </c>
      <c r="G34" s="5" t="s">
        <v>107</v>
      </c>
      <c r="H34" s="9" t="s">
        <v>137</v>
      </c>
      <c r="I34" s="10" t="s">
        <v>138</v>
      </c>
      <c r="J34" s="1" t="s">
        <v>139</v>
      </c>
      <c r="K34" s="1">
        <v>1977</v>
      </c>
      <c r="L34" s="1">
        <v>2025</v>
      </c>
      <c r="M34" s="5">
        <f t="shared" si="2"/>
        <v>48</v>
      </c>
    </row>
    <row r="35" spans="1:13" x14ac:dyDescent="0.25">
      <c r="A35" s="6">
        <v>32</v>
      </c>
      <c r="B35" s="1" t="s">
        <v>167</v>
      </c>
      <c r="C35" s="20" t="s">
        <v>204</v>
      </c>
      <c r="D35" s="21" t="s">
        <v>83</v>
      </c>
      <c r="E35" s="5" t="s">
        <v>14</v>
      </c>
      <c r="F35" s="1" t="s">
        <v>168</v>
      </c>
      <c r="G35" s="5" t="s">
        <v>17</v>
      </c>
      <c r="H35" s="9" t="s">
        <v>169</v>
      </c>
      <c r="I35" s="10" t="s">
        <v>170</v>
      </c>
      <c r="J35" s="1" t="s">
        <v>139</v>
      </c>
      <c r="K35" s="1">
        <v>1998</v>
      </c>
      <c r="L35" s="1">
        <v>2025</v>
      </c>
      <c r="M35" s="5">
        <v>24</v>
      </c>
    </row>
    <row r="36" spans="1:13" x14ac:dyDescent="0.25">
      <c r="A36" s="6">
        <v>33</v>
      </c>
      <c r="B36" s="1" t="s">
        <v>140</v>
      </c>
      <c r="C36" s="20" t="s">
        <v>205</v>
      </c>
      <c r="D36" s="21" t="s">
        <v>83</v>
      </c>
      <c r="E36" s="5" t="s">
        <v>14</v>
      </c>
      <c r="F36" s="1" t="s">
        <v>141</v>
      </c>
      <c r="G36" s="5" t="s">
        <v>107</v>
      </c>
      <c r="H36" s="9" t="s">
        <v>142</v>
      </c>
      <c r="I36" s="10" t="s">
        <v>143</v>
      </c>
      <c r="J36" s="1" t="s">
        <v>144</v>
      </c>
      <c r="K36" s="1">
        <v>1981</v>
      </c>
      <c r="L36" s="1">
        <v>2025</v>
      </c>
      <c r="M36" s="5">
        <f t="shared" si="2"/>
        <v>44</v>
      </c>
    </row>
    <row r="37" spans="1:13" s="3" customFormat="1" x14ac:dyDescent="0.25">
      <c r="A37" s="6">
        <v>34</v>
      </c>
      <c r="B37" s="1" t="s">
        <v>145</v>
      </c>
      <c r="C37" s="20" t="s">
        <v>206</v>
      </c>
      <c r="D37" s="21" t="s">
        <v>83</v>
      </c>
      <c r="E37" s="5" t="s">
        <v>14</v>
      </c>
      <c r="F37" s="1" t="s">
        <v>146</v>
      </c>
      <c r="G37" s="5" t="s">
        <v>107</v>
      </c>
      <c r="H37" s="9" t="s">
        <v>147</v>
      </c>
      <c r="I37" s="10" t="s">
        <v>115</v>
      </c>
      <c r="J37" s="1" t="s">
        <v>110</v>
      </c>
      <c r="K37" s="1">
        <v>1995</v>
      </c>
      <c r="L37" s="1">
        <v>2025</v>
      </c>
      <c r="M37" s="5">
        <f t="shared" si="2"/>
        <v>30</v>
      </c>
    </row>
    <row r="38" spans="1:13" x14ac:dyDescent="0.25">
      <c r="A38" s="6">
        <v>35</v>
      </c>
      <c r="B38" s="1" t="s">
        <v>148</v>
      </c>
      <c r="C38" s="1" t="s">
        <v>149</v>
      </c>
      <c r="D38" s="1"/>
      <c r="E38" s="5"/>
      <c r="F38" s="1" t="s">
        <v>150</v>
      </c>
      <c r="G38" s="5" t="s">
        <v>107</v>
      </c>
      <c r="H38" s="9" t="s">
        <v>151</v>
      </c>
      <c r="I38" s="10" t="s">
        <v>152</v>
      </c>
      <c r="J38" s="1" t="s">
        <v>153</v>
      </c>
      <c r="K38" s="1">
        <v>1980</v>
      </c>
      <c r="L38" s="1">
        <v>2025</v>
      </c>
      <c r="M38" s="5">
        <f t="shared" si="2"/>
        <v>45</v>
      </c>
    </row>
    <row r="39" spans="1:13" x14ac:dyDescent="0.25">
      <c r="A39" s="6">
        <v>36</v>
      </c>
      <c r="B39" s="1" t="s">
        <v>154</v>
      </c>
      <c r="C39" s="20" t="s">
        <v>207</v>
      </c>
      <c r="D39" s="21" t="s">
        <v>83</v>
      </c>
      <c r="E39" s="5" t="s">
        <v>14</v>
      </c>
      <c r="F39" s="1" t="s">
        <v>155</v>
      </c>
      <c r="G39" s="5" t="s">
        <v>107</v>
      </c>
      <c r="H39" s="9" t="s">
        <v>156</v>
      </c>
      <c r="I39" s="10" t="s">
        <v>157</v>
      </c>
      <c r="J39" s="1" t="s">
        <v>42</v>
      </c>
      <c r="K39" s="1">
        <v>1970</v>
      </c>
      <c r="L39" s="1">
        <v>2025</v>
      </c>
      <c r="M39" s="5">
        <f t="shared" si="2"/>
        <v>55</v>
      </c>
    </row>
    <row r="40" spans="1:13" x14ac:dyDescent="0.25">
      <c r="A40" s="6">
        <v>37</v>
      </c>
      <c r="B40" s="1" t="s">
        <v>158</v>
      </c>
      <c r="C40" s="1" t="s">
        <v>159</v>
      </c>
      <c r="D40" s="1"/>
      <c r="E40" s="5"/>
      <c r="F40" s="1" t="s">
        <v>160</v>
      </c>
      <c r="G40" s="5" t="s">
        <v>107</v>
      </c>
      <c r="H40" s="5"/>
      <c r="I40" s="1"/>
      <c r="J40" s="1"/>
      <c r="K40" s="1"/>
      <c r="L40" s="1"/>
      <c r="M40" s="5">
        <f t="shared" si="2"/>
        <v>0</v>
      </c>
    </row>
    <row r="41" spans="1:13" s="3" customFormat="1" x14ac:dyDescent="0.25">
      <c r="A41" s="6">
        <v>38</v>
      </c>
      <c r="B41" s="1" t="s">
        <v>161</v>
      </c>
      <c r="C41" s="20" t="s">
        <v>208</v>
      </c>
      <c r="D41" s="21" t="s">
        <v>83</v>
      </c>
      <c r="E41" s="5" t="s">
        <v>14</v>
      </c>
      <c r="F41" s="1" t="s">
        <v>162</v>
      </c>
      <c r="G41" s="5" t="s">
        <v>17</v>
      </c>
      <c r="H41" s="9" t="s">
        <v>163</v>
      </c>
      <c r="I41" s="10" t="s">
        <v>80</v>
      </c>
      <c r="J41" s="1" t="s">
        <v>42</v>
      </c>
      <c r="K41" s="1">
        <v>1979</v>
      </c>
      <c r="L41" s="1">
        <v>2025</v>
      </c>
      <c r="M41" s="5">
        <f t="shared" si="2"/>
        <v>46</v>
      </c>
    </row>
    <row r="42" spans="1:13" x14ac:dyDescent="0.25">
      <c r="A42" s="6">
        <v>39</v>
      </c>
      <c r="B42" s="1" t="s">
        <v>164</v>
      </c>
      <c r="C42" s="20" t="s">
        <v>209</v>
      </c>
      <c r="D42" s="1"/>
      <c r="E42" s="5"/>
      <c r="F42" s="1" t="s">
        <v>165</v>
      </c>
      <c r="G42" s="5" t="s">
        <v>107</v>
      </c>
      <c r="H42" s="9" t="s">
        <v>166</v>
      </c>
      <c r="I42" s="10" t="s">
        <v>152</v>
      </c>
      <c r="J42" s="1" t="s">
        <v>42</v>
      </c>
      <c r="K42" s="1">
        <v>1983</v>
      </c>
      <c r="L42" s="1">
        <v>2025</v>
      </c>
      <c r="M42" s="5">
        <f t="shared" si="2"/>
        <v>42</v>
      </c>
    </row>
    <row r="43" spans="1:13" x14ac:dyDescent="0.25">
      <c r="A43" s="6">
        <v>40</v>
      </c>
      <c r="B43" s="1" t="s">
        <v>171</v>
      </c>
      <c r="C43" s="20" t="s">
        <v>210</v>
      </c>
      <c r="D43" s="1"/>
      <c r="E43" s="5"/>
      <c r="F43" s="1" t="s">
        <v>172</v>
      </c>
      <c r="G43" s="5" t="s">
        <v>107</v>
      </c>
      <c r="H43" s="9" t="s">
        <v>173</v>
      </c>
      <c r="I43" s="10" t="s">
        <v>174</v>
      </c>
      <c r="J43" s="1" t="s">
        <v>42</v>
      </c>
      <c r="K43" s="1">
        <v>1974</v>
      </c>
      <c r="L43" s="1">
        <v>2025</v>
      </c>
      <c r="M43" s="5">
        <f>L43-K43</f>
        <v>51</v>
      </c>
    </row>
    <row r="44" spans="1:13" s="3" customFormat="1" x14ac:dyDescent="0.25">
      <c r="A44" s="6">
        <v>41</v>
      </c>
      <c r="B44" s="1" t="s">
        <v>175</v>
      </c>
      <c r="C44" s="20" t="s">
        <v>211</v>
      </c>
      <c r="D44" s="21" t="s">
        <v>83</v>
      </c>
      <c r="E44" s="5" t="s">
        <v>14</v>
      </c>
      <c r="F44" s="1" t="s">
        <v>176</v>
      </c>
      <c r="G44" s="5" t="s">
        <v>17</v>
      </c>
      <c r="H44" s="9" t="s">
        <v>177</v>
      </c>
      <c r="I44" s="10" t="s">
        <v>178</v>
      </c>
      <c r="J44" s="1" t="s">
        <v>42</v>
      </c>
      <c r="K44" s="1">
        <v>1989</v>
      </c>
      <c r="L44" s="1">
        <v>2025</v>
      </c>
      <c r="M44" s="5">
        <f>L44-K44</f>
        <v>36</v>
      </c>
    </row>
    <row r="45" spans="1:13" s="3" customFormat="1" ht="31.5" x14ac:dyDescent="0.25">
      <c r="A45" s="6">
        <v>42</v>
      </c>
      <c r="B45" s="1" t="s">
        <v>179</v>
      </c>
      <c r="C45" s="20" t="s">
        <v>212</v>
      </c>
      <c r="D45" s="21" t="s">
        <v>83</v>
      </c>
      <c r="E45" s="5" t="s">
        <v>14</v>
      </c>
      <c r="F45" s="1" t="s">
        <v>180</v>
      </c>
      <c r="G45" s="5" t="s">
        <v>17</v>
      </c>
      <c r="H45" s="9" t="s">
        <v>181</v>
      </c>
      <c r="I45" s="17" t="s">
        <v>85</v>
      </c>
      <c r="J45" s="1" t="s">
        <v>42</v>
      </c>
      <c r="K45" s="1">
        <v>1989</v>
      </c>
      <c r="L45" s="1">
        <v>2025</v>
      </c>
      <c r="M45" s="5">
        <v>33</v>
      </c>
    </row>
    <row r="46" spans="1:13" s="3" customFormat="1" x14ac:dyDescent="0.25">
      <c r="A46" s="6">
        <v>43</v>
      </c>
      <c r="B46" s="1" t="s">
        <v>182</v>
      </c>
      <c r="C46" s="1" t="s">
        <v>183</v>
      </c>
      <c r="D46" s="21" t="s">
        <v>83</v>
      </c>
      <c r="E46" s="5" t="s">
        <v>14</v>
      </c>
      <c r="F46" s="1" t="s">
        <v>184</v>
      </c>
      <c r="G46" s="5" t="s">
        <v>17</v>
      </c>
      <c r="H46" s="5"/>
      <c r="I46" s="10" t="s">
        <v>185</v>
      </c>
      <c r="J46" s="1" t="s">
        <v>186</v>
      </c>
      <c r="K46" s="1">
        <v>1966</v>
      </c>
      <c r="L46" s="1">
        <v>2025</v>
      </c>
      <c r="M46" s="5">
        <f>L46-K46</f>
        <v>59</v>
      </c>
    </row>
    <row r="47" spans="1:13" s="3" customFormat="1" x14ac:dyDescent="0.25">
      <c r="A47" s="6">
        <v>44</v>
      </c>
      <c r="B47" s="1" t="s">
        <v>187</v>
      </c>
      <c r="C47" s="1" t="s">
        <v>188</v>
      </c>
      <c r="D47" s="1"/>
      <c r="E47" s="5"/>
      <c r="F47" s="1"/>
      <c r="G47" s="5"/>
      <c r="H47" s="5"/>
      <c r="I47" s="1"/>
      <c r="J47" s="1"/>
      <c r="K47" s="1"/>
      <c r="L47" s="1"/>
      <c r="M47" s="5">
        <f>L47-K47</f>
        <v>0</v>
      </c>
    </row>
    <row r="48" spans="1:13" x14ac:dyDescent="0.25">
      <c r="A48" s="6">
        <v>45</v>
      </c>
      <c r="B48" s="1" t="s">
        <v>189</v>
      </c>
      <c r="C48" s="1" t="s">
        <v>190</v>
      </c>
      <c r="D48" s="21" t="s">
        <v>83</v>
      </c>
      <c r="E48" s="5" t="s">
        <v>14</v>
      </c>
      <c r="F48" s="1" t="s">
        <v>191</v>
      </c>
      <c r="G48" s="5" t="s">
        <v>107</v>
      </c>
      <c r="H48" s="9" t="s">
        <v>192</v>
      </c>
      <c r="I48" s="10" t="s">
        <v>193</v>
      </c>
      <c r="J48" s="1" t="s">
        <v>153</v>
      </c>
      <c r="K48" s="1">
        <v>1977</v>
      </c>
      <c r="L48" s="1">
        <v>2025</v>
      </c>
      <c r="M48" s="5">
        <f>L48-K48</f>
        <v>48</v>
      </c>
    </row>
    <row r="49" spans="1:16" ht="15" customHeight="1" x14ac:dyDescent="0.25">
      <c r="A49" s="6">
        <v>46</v>
      </c>
      <c r="B49" s="20" t="s">
        <v>213</v>
      </c>
      <c r="C49" s="20" t="s">
        <v>214</v>
      </c>
      <c r="D49" s="8">
        <v>45993</v>
      </c>
      <c r="E49" s="5" t="s">
        <v>14</v>
      </c>
      <c r="F49" s="1"/>
      <c r="G49" s="5"/>
      <c r="H49" s="5"/>
      <c r="I49" s="1"/>
      <c r="J49" s="1"/>
      <c r="K49" s="1"/>
      <c r="L49" s="1"/>
      <c r="M49" s="5"/>
    </row>
    <row r="50" spans="1:16" ht="15" customHeight="1" x14ac:dyDescent="0.25">
      <c r="A50" s="6">
        <v>47</v>
      </c>
      <c r="B50" s="20" t="s">
        <v>215</v>
      </c>
      <c r="C50" s="20" t="s">
        <v>216</v>
      </c>
      <c r="D50" s="8">
        <v>45993</v>
      </c>
      <c r="E50" s="5" t="s">
        <v>14</v>
      </c>
      <c r="F50" s="1"/>
      <c r="G50" s="5"/>
      <c r="H50" s="5"/>
      <c r="I50" s="1"/>
      <c r="J50" s="1"/>
      <c r="K50" s="1"/>
      <c r="L50" s="1"/>
      <c r="M50" s="5"/>
    </row>
    <row r="51" spans="1:16" ht="15" customHeight="1" x14ac:dyDescent="0.25">
      <c r="A51" s="6">
        <v>48</v>
      </c>
      <c r="B51" s="20" t="s">
        <v>194</v>
      </c>
      <c r="C51" s="20" t="s">
        <v>217</v>
      </c>
      <c r="D51" s="8">
        <v>45993</v>
      </c>
      <c r="E51" s="5" t="s">
        <v>14</v>
      </c>
      <c r="F51" s="1"/>
      <c r="G51" s="5"/>
      <c r="H51" s="5"/>
      <c r="I51" s="1"/>
      <c r="J51" s="1"/>
      <c r="K51" s="1"/>
      <c r="L51" s="1"/>
      <c r="M51" s="5"/>
    </row>
    <row r="52" spans="1:16" ht="15" customHeight="1" x14ac:dyDescent="0.25">
      <c r="A52" s="6">
        <v>49</v>
      </c>
      <c r="B52" s="20" t="s">
        <v>218</v>
      </c>
      <c r="C52" s="20" t="s">
        <v>219</v>
      </c>
      <c r="D52" s="8">
        <v>45993</v>
      </c>
      <c r="E52" s="5" t="s">
        <v>14</v>
      </c>
      <c r="F52" s="1"/>
      <c r="G52" s="5"/>
      <c r="H52" s="5"/>
      <c r="I52" s="1"/>
      <c r="J52" s="1"/>
      <c r="K52" s="1"/>
      <c r="L52" s="1"/>
      <c r="M52" s="5"/>
    </row>
    <row r="53" spans="1:16" ht="15" customHeight="1" x14ac:dyDescent="0.25">
      <c r="A53" s="6">
        <v>50</v>
      </c>
      <c r="B53" s="20" t="s">
        <v>220</v>
      </c>
      <c r="C53" s="20" t="s">
        <v>221</v>
      </c>
      <c r="D53" s="8">
        <v>45993</v>
      </c>
      <c r="E53" s="5" t="s">
        <v>14</v>
      </c>
      <c r="F53" s="1"/>
      <c r="G53" s="5"/>
      <c r="H53" s="5"/>
      <c r="I53" s="1"/>
      <c r="J53" s="1"/>
      <c r="K53" s="1"/>
      <c r="L53" s="1"/>
      <c r="M53" s="5"/>
    </row>
    <row r="54" spans="1:16" ht="15" customHeight="1" x14ac:dyDescent="0.25">
      <c r="A54" s="6"/>
      <c r="B54" s="41"/>
      <c r="C54" s="41"/>
      <c r="D54" s="42"/>
      <c r="E54" s="43"/>
      <c r="F54" s="23"/>
      <c r="G54" s="43"/>
      <c r="H54" s="43"/>
      <c r="I54" s="23"/>
      <c r="J54" s="1"/>
      <c r="K54" s="1"/>
      <c r="L54" s="44"/>
      <c r="M54" s="45"/>
    </row>
    <row r="55" spans="1:16" ht="15" customHeight="1" x14ac:dyDescent="0.25">
      <c r="A55" s="6"/>
      <c r="B55" s="41"/>
      <c r="C55" s="41"/>
      <c r="D55" s="42"/>
      <c r="E55" s="43"/>
      <c r="F55" s="23"/>
      <c r="G55" s="43"/>
      <c r="H55" s="43"/>
      <c r="I55" s="23"/>
      <c r="J55" s="1"/>
      <c r="K55" s="1"/>
      <c r="L55" s="44"/>
      <c r="M55" s="45"/>
    </row>
    <row r="56" spans="1:16" ht="15" customHeight="1" x14ac:dyDescent="0.25">
      <c r="A56" s="46" t="s">
        <v>324</v>
      </c>
      <c r="B56" s="47"/>
      <c r="C56" s="48"/>
      <c r="D56" s="42"/>
      <c r="E56" s="43"/>
      <c r="F56" s="23"/>
      <c r="G56" s="43"/>
      <c r="H56" s="43"/>
      <c r="I56" s="23"/>
      <c r="J56" s="1"/>
      <c r="K56" s="1"/>
      <c r="L56" s="44"/>
      <c r="M56" s="45"/>
    </row>
    <row r="57" spans="1:16" s="3" customFormat="1" ht="20.100000000000001" customHeight="1" x14ac:dyDescent="0.25">
      <c r="A57" s="5"/>
      <c r="B57" s="23"/>
      <c r="C57" s="23"/>
      <c r="D57" s="23"/>
      <c r="E57" s="23"/>
      <c r="F57" s="23"/>
      <c r="G57" s="23"/>
      <c r="H57" s="23"/>
      <c r="I57" s="23"/>
      <c r="J57" s="5"/>
      <c r="K57" s="1"/>
      <c r="L57" s="4"/>
      <c r="M57" s="4"/>
      <c r="N57" s="24"/>
      <c r="O57" s="4"/>
      <c r="P57" s="25"/>
    </row>
    <row r="58" spans="1:16" ht="20.100000000000001" customHeight="1" x14ac:dyDescent="0.25">
      <c r="A58" s="5">
        <v>51</v>
      </c>
      <c r="B58" s="1" t="s">
        <v>230</v>
      </c>
      <c r="C58" s="1" t="s">
        <v>234</v>
      </c>
      <c r="D58" s="39" t="s">
        <v>20</v>
      </c>
      <c r="E58" s="26" t="s">
        <v>232</v>
      </c>
      <c r="F58" s="23" t="s">
        <v>231</v>
      </c>
      <c r="G58" s="23" t="s">
        <v>46</v>
      </c>
      <c r="H58" s="23">
        <v>1961</v>
      </c>
      <c r="I58" s="23">
        <v>2025</v>
      </c>
      <c r="J58" s="5">
        <f>I58-H58</f>
        <v>64</v>
      </c>
      <c r="K58" s="27" t="s">
        <v>233</v>
      </c>
      <c r="L58" s="4"/>
      <c r="N58" s="24"/>
      <c r="O58" s="4">
        <v>22</v>
      </c>
      <c r="P58" s="25" t="s">
        <v>235</v>
      </c>
    </row>
    <row r="59" spans="1:16" ht="20.100000000000001" customHeight="1" x14ac:dyDescent="0.25">
      <c r="A59" s="5">
        <v>52</v>
      </c>
      <c r="B59" s="1" t="s">
        <v>236</v>
      </c>
      <c r="C59" s="1" t="s">
        <v>234</v>
      </c>
      <c r="D59" s="35" t="s">
        <v>20</v>
      </c>
      <c r="E59" s="1"/>
      <c r="F59" s="1"/>
      <c r="G59" s="1"/>
      <c r="H59" s="1"/>
      <c r="I59" s="1"/>
      <c r="J59" s="5">
        <f t="shared" ref="J59:J63" si="3">I59-H59</f>
        <v>0</v>
      </c>
      <c r="K59" s="1"/>
      <c r="L59" s="4"/>
      <c r="N59" s="24"/>
      <c r="O59" s="4">
        <v>24</v>
      </c>
      <c r="P59" s="25" t="s">
        <v>235</v>
      </c>
    </row>
    <row r="60" spans="1:16" ht="20.100000000000001" customHeight="1" x14ac:dyDescent="0.25">
      <c r="A60" s="5">
        <v>53</v>
      </c>
      <c r="B60" s="1" t="s">
        <v>237</v>
      </c>
      <c r="C60" s="1" t="s">
        <v>317</v>
      </c>
      <c r="D60" s="3" t="s">
        <v>17</v>
      </c>
      <c r="E60" s="28" t="s">
        <v>239</v>
      </c>
      <c r="F60" s="3" t="s">
        <v>238</v>
      </c>
      <c r="G60" s="3" t="s">
        <v>27</v>
      </c>
      <c r="H60" s="3">
        <v>1965</v>
      </c>
      <c r="J60" s="5">
        <f t="shared" si="3"/>
        <v>-1965</v>
      </c>
      <c r="K60" s="28" t="s">
        <v>240</v>
      </c>
      <c r="L60" s="4"/>
      <c r="M60" s="4">
        <v>25</v>
      </c>
      <c r="N60" s="24" t="s">
        <v>235</v>
      </c>
      <c r="O60" s="4"/>
      <c r="P60" s="25"/>
    </row>
    <row r="61" spans="1:16" ht="20.100000000000001" customHeight="1" x14ac:dyDescent="0.25">
      <c r="A61" s="5">
        <v>54</v>
      </c>
      <c r="B61" s="1" t="s">
        <v>242</v>
      </c>
      <c r="C61" s="1" t="s">
        <v>317</v>
      </c>
      <c r="D61" s="35" t="s">
        <v>17</v>
      </c>
      <c r="E61" s="10" t="s">
        <v>244</v>
      </c>
      <c r="F61" s="1" t="s">
        <v>243</v>
      </c>
      <c r="G61" s="1" t="s">
        <v>245</v>
      </c>
      <c r="H61" s="1">
        <v>1985</v>
      </c>
      <c r="I61" s="1">
        <v>2025</v>
      </c>
      <c r="J61" s="5">
        <f t="shared" si="3"/>
        <v>40</v>
      </c>
      <c r="K61" s="10" t="s">
        <v>85</v>
      </c>
      <c r="L61" s="4"/>
      <c r="M61" s="4">
        <v>27</v>
      </c>
      <c r="N61" s="24" t="s">
        <v>235</v>
      </c>
      <c r="O61" s="4"/>
      <c r="P61" s="25"/>
    </row>
    <row r="62" spans="1:16" ht="20.100000000000001" customHeight="1" x14ac:dyDescent="0.25">
      <c r="A62" s="5">
        <v>55</v>
      </c>
      <c r="B62" s="1" t="s">
        <v>246</v>
      </c>
      <c r="C62" s="1" t="s">
        <v>318</v>
      </c>
      <c r="D62" s="35" t="s">
        <v>17</v>
      </c>
      <c r="E62" s="10" t="s">
        <v>248</v>
      </c>
      <c r="F62" s="1" t="s">
        <v>247</v>
      </c>
      <c r="G62" s="1" t="s">
        <v>42</v>
      </c>
      <c r="H62" s="1">
        <v>1978</v>
      </c>
      <c r="I62" s="1">
        <v>2025</v>
      </c>
      <c r="J62" s="5">
        <f t="shared" si="3"/>
        <v>47</v>
      </c>
      <c r="K62" s="10" t="s">
        <v>249</v>
      </c>
      <c r="L62" s="4"/>
      <c r="N62" s="24"/>
      <c r="O62" s="4">
        <v>28</v>
      </c>
      <c r="P62" s="25" t="s">
        <v>235</v>
      </c>
    </row>
    <row r="63" spans="1:16" ht="20.100000000000001" customHeight="1" x14ac:dyDescent="0.25">
      <c r="A63" s="5">
        <v>56</v>
      </c>
      <c r="B63" s="1" t="s">
        <v>250</v>
      </c>
      <c r="C63" s="1" t="s">
        <v>317</v>
      </c>
      <c r="D63" s="35"/>
      <c r="E63" s="1"/>
      <c r="F63" s="1"/>
      <c r="G63" s="1"/>
      <c r="H63" s="1"/>
      <c r="I63" s="1"/>
      <c r="J63" s="5">
        <f t="shared" si="3"/>
        <v>0</v>
      </c>
      <c r="K63" s="1"/>
      <c r="L63" s="29"/>
      <c r="M63" s="29"/>
      <c r="N63" s="30"/>
      <c r="O63" s="29">
        <v>30</v>
      </c>
      <c r="P63" s="31" t="s">
        <v>235</v>
      </c>
    </row>
    <row r="64" spans="1:16" s="3" customFormat="1" ht="20.100000000000001" customHeight="1" x14ac:dyDescent="0.25">
      <c r="A64" s="5">
        <v>57</v>
      </c>
      <c r="B64" s="1" t="s">
        <v>251</v>
      </c>
      <c r="C64" s="1" t="s">
        <v>319</v>
      </c>
      <c r="D64" s="35" t="s">
        <v>107</v>
      </c>
      <c r="E64" s="10" t="s">
        <v>253</v>
      </c>
      <c r="F64" s="1" t="s">
        <v>252</v>
      </c>
      <c r="G64" s="1" t="s">
        <v>86</v>
      </c>
      <c r="H64" s="1">
        <v>1978</v>
      </c>
      <c r="I64" s="1">
        <v>2025</v>
      </c>
      <c r="J64" s="5">
        <f>I64-H64</f>
        <v>47</v>
      </c>
      <c r="K64" s="10" t="s">
        <v>254</v>
      </c>
      <c r="L64" s="32"/>
      <c r="M64" s="32"/>
      <c r="N64" s="33"/>
      <c r="O64" s="32">
        <v>31</v>
      </c>
      <c r="P64" s="34" t="s">
        <v>235</v>
      </c>
    </row>
    <row r="65" spans="1:19" s="3" customFormat="1" ht="20.100000000000001" customHeight="1" x14ac:dyDescent="0.25">
      <c r="A65" s="5">
        <v>58</v>
      </c>
      <c r="B65" s="1" t="s">
        <v>255</v>
      </c>
      <c r="C65" s="1" t="s">
        <v>320</v>
      </c>
      <c r="D65" s="35" t="s">
        <v>107</v>
      </c>
      <c r="E65" s="10" t="s">
        <v>101</v>
      </c>
      <c r="F65" s="1" t="s">
        <v>256</v>
      </c>
      <c r="G65" s="1" t="s">
        <v>64</v>
      </c>
      <c r="H65" s="1">
        <v>1969</v>
      </c>
      <c r="I65" s="1">
        <v>2025</v>
      </c>
      <c r="J65" s="5">
        <f t="shared" ref="J65:J80" si="4">I65-H65</f>
        <v>56</v>
      </c>
      <c r="K65" s="10" t="s">
        <v>257</v>
      </c>
      <c r="L65" s="4"/>
      <c r="M65" s="4">
        <v>32</v>
      </c>
      <c r="N65" s="24" t="s">
        <v>235</v>
      </c>
      <c r="O65" s="4"/>
      <c r="P65" s="25"/>
    </row>
    <row r="66" spans="1:19" s="3" customFormat="1" ht="20.100000000000001" customHeight="1" x14ac:dyDescent="0.25">
      <c r="A66" s="5">
        <v>59</v>
      </c>
      <c r="B66" s="1" t="s">
        <v>258</v>
      </c>
      <c r="C66" s="1" t="s">
        <v>320</v>
      </c>
      <c r="D66" s="35" t="s">
        <v>17</v>
      </c>
      <c r="E66" s="10" t="s">
        <v>260</v>
      </c>
      <c r="F66" s="1" t="s">
        <v>259</v>
      </c>
      <c r="G66" s="1" t="s">
        <v>86</v>
      </c>
      <c r="H66" s="1">
        <v>1977</v>
      </c>
      <c r="I66" s="1">
        <v>2025</v>
      </c>
      <c r="J66" s="5">
        <f t="shared" si="4"/>
        <v>48</v>
      </c>
      <c r="K66" s="10" t="s">
        <v>261</v>
      </c>
      <c r="L66" s="4"/>
      <c r="M66" s="4"/>
      <c r="N66" s="24"/>
      <c r="O66" s="4">
        <v>33</v>
      </c>
      <c r="P66" s="25" t="s">
        <v>235</v>
      </c>
    </row>
    <row r="67" spans="1:19" s="3" customFormat="1" ht="20.100000000000001" customHeight="1" x14ac:dyDescent="0.25">
      <c r="A67" s="5">
        <v>60</v>
      </c>
      <c r="B67" s="1" t="s">
        <v>262</v>
      </c>
      <c r="C67" s="1" t="s">
        <v>319</v>
      </c>
      <c r="D67" s="35" t="s">
        <v>17</v>
      </c>
      <c r="E67" s="10" t="s">
        <v>264</v>
      </c>
      <c r="F67" s="1" t="s">
        <v>263</v>
      </c>
      <c r="G67" s="1" t="s">
        <v>42</v>
      </c>
      <c r="H67" s="1">
        <v>1965</v>
      </c>
      <c r="I67" s="1">
        <v>2025</v>
      </c>
      <c r="J67" s="5">
        <f t="shared" si="4"/>
        <v>60</v>
      </c>
      <c r="K67" s="10" t="s">
        <v>265</v>
      </c>
      <c r="L67" s="4"/>
      <c r="M67" s="4">
        <v>34</v>
      </c>
      <c r="N67" s="24" t="s">
        <v>235</v>
      </c>
      <c r="O67" s="4"/>
      <c r="P67" s="25"/>
    </row>
    <row r="68" spans="1:19" s="3" customFormat="1" ht="20.100000000000001" customHeight="1" x14ac:dyDescent="0.2">
      <c r="A68" s="5">
        <v>61</v>
      </c>
      <c r="B68" s="1" t="s">
        <v>266</v>
      </c>
      <c r="C68" s="1" t="s">
        <v>319</v>
      </c>
      <c r="D68" s="35" t="s">
        <v>17</v>
      </c>
      <c r="E68" s="1"/>
      <c r="F68" s="1" t="s">
        <v>315</v>
      </c>
      <c r="G68" s="1"/>
      <c r="H68" s="1"/>
      <c r="I68" s="1"/>
      <c r="J68" s="5">
        <f t="shared" si="4"/>
        <v>0</v>
      </c>
      <c r="K68" s="37">
        <v>43328</v>
      </c>
      <c r="L68" s="4"/>
      <c r="M68" s="4"/>
      <c r="N68" s="24"/>
      <c r="O68" s="4">
        <v>35</v>
      </c>
      <c r="P68" s="25" t="s">
        <v>235</v>
      </c>
    </row>
    <row r="69" spans="1:19" s="3" customFormat="1" ht="20.100000000000001" customHeight="1" x14ac:dyDescent="0.25">
      <c r="A69" s="5">
        <v>62</v>
      </c>
      <c r="B69" s="1" t="s">
        <v>267</v>
      </c>
      <c r="C69" s="1" t="s">
        <v>320</v>
      </c>
      <c r="D69" s="35" t="s">
        <v>17</v>
      </c>
      <c r="E69" s="10" t="s">
        <v>269</v>
      </c>
      <c r="F69" s="1" t="s">
        <v>268</v>
      </c>
      <c r="G69" s="1" t="s">
        <v>86</v>
      </c>
      <c r="H69" s="1">
        <v>1975</v>
      </c>
      <c r="I69" s="1">
        <v>2025</v>
      </c>
      <c r="J69" s="5">
        <f t="shared" si="4"/>
        <v>50</v>
      </c>
      <c r="K69" s="10" t="s">
        <v>270</v>
      </c>
      <c r="L69" s="4"/>
      <c r="M69" s="4">
        <v>36</v>
      </c>
      <c r="N69" s="24" t="s">
        <v>235</v>
      </c>
      <c r="O69" s="4"/>
      <c r="P69" s="25"/>
    </row>
    <row r="70" spans="1:19" s="3" customFormat="1" ht="20.100000000000001" customHeight="1" x14ac:dyDescent="0.25">
      <c r="A70" s="5">
        <v>63</v>
      </c>
      <c r="B70" s="1" t="s">
        <v>271</v>
      </c>
      <c r="C70" s="1" t="s">
        <v>320</v>
      </c>
      <c r="D70" s="35" t="s">
        <v>17</v>
      </c>
      <c r="E70" s="1"/>
      <c r="F70" s="1" t="s">
        <v>312</v>
      </c>
      <c r="G70" s="1"/>
      <c r="H70" s="1"/>
      <c r="I70" s="1"/>
      <c r="J70" s="5">
        <f t="shared" si="4"/>
        <v>0</v>
      </c>
      <c r="K70" s="1"/>
      <c r="L70" s="4"/>
      <c r="M70" s="4"/>
      <c r="N70" s="24"/>
      <c r="O70" s="4">
        <v>37</v>
      </c>
      <c r="P70" s="25" t="s">
        <v>235</v>
      </c>
    </row>
    <row r="71" spans="1:19" s="3" customFormat="1" ht="20.100000000000001" customHeight="1" x14ac:dyDescent="0.25">
      <c r="A71" s="5">
        <v>64</v>
      </c>
      <c r="B71" s="1" t="s">
        <v>272</v>
      </c>
      <c r="C71" s="1" t="s">
        <v>319</v>
      </c>
      <c r="D71" s="35" t="s">
        <v>17</v>
      </c>
      <c r="E71" s="1"/>
      <c r="F71" s="1" t="s">
        <v>313</v>
      </c>
      <c r="G71" s="1"/>
      <c r="H71" s="1"/>
      <c r="I71" s="1"/>
      <c r="J71" s="5">
        <f t="shared" si="4"/>
        <v>0</v>
      </c>
      <c r="K71" s="1"/>
      <c r="L71" s="4"/>
      <c r="M71" s="4"/>
      <c r="N71" s="24"/>
      <c r="O71" s="4">
        <v>39</v>
      </c>
      <c r="P71" s="25" t="s">
        <v>235</v>
      </c>
    </row>
    <row r="72" spans="1:19" s="3" customFormat="1" ht="20.100000000000001" customHeight="1" x14ac:dyDescent="0.25">
      <c r="A72" s="5">
        <v>65</v>
      </c>
      <c r="B72" s="1" t="s">
        <v>273</v>
      </c>
      <c r="C72" s="1" t="s">
        <v>319</v>
      </c>
      <c r="D72" s="35" t="s">
        <v>17</v>
      </c>
      <c r="E72" s="10" t="s">
        <v>275</v>
      </c>
      <c r="F72" s="1" t="s">
        <v>274</v>
      </c>
      <c r="G72" s="1" t="s">
        <v>186</v>
      </c>
      <c r="H72" s="1">
        <v>1972</v>
      </c>
      <c r="I72" s="1">
        <v>2025</v>
      </c>
      <c r="J72" s="5">
        <f t="shared" si="4"/>
        <v>53</v>
      </c>
      <c r="K72" s="10" t="s">
        <v>276</v>
      </c>
      <c r="L72" s="4"/>
      <c r="M72" s="4">
        <v>40</v>
      </c>
      <c r="N72" s="24" t="s">
        <v>235</v>
      </c>
      <c r="O72" s="4"/>
      <c r="P72" s="25"/>
    </row>
    <row r="73" spans="1:19" s="3" customFormat="1" ht="20.100000000000001" customHeight="1" x14ac:dyDescent="0.25">
      <c r="A73" s="5">
        <v>66</v>
      </c>
      <c r="B73" s="1" t="s">
        <v>277</v>
      </c>
      <c r="C73" s="1" t="s">
        <v>132</v>
      </c>
      <c r="D73" s="35" t="s">
        <v>17</v>
      </c>
      <c r="E73" s="10" t="s">
        <v>279</v>
      </c>
      <c r="F73" s="1" t="s">
        <v>278</v>
      </c>
      <c r="G73" s="1" t="s">
        <v>281</v>
      </c>
      <c r="H73" s="1">
        <v>1967</v>
      </c>
      <c r="I73" s="35">
        <v>2025</v>
      </c>
      <c r="J73" s="5">
        <f t="shared" si="4"/>
        <v>58</v>
      </c>
      <c r="K73" s="10" t="s">
        <v>280</v>
      </c>
      <c r="L73" s="4"/>
      <c r="M73" s="4">
        <v>42</v>
      </c>
      <c r="N73" s="24" t="s">
        <v>235</v>
      </c>
      <c r="O73" s="4"/>
      <c r="P73" s="25"/>
      <c r="R73" s="3" t="s">
        <v>282</v>
      </c>
      <c r="S73" s="3" t="s">
        <v>132</v>
      </c>
    </row>
    <row r="74" spans="1:19" s="3" customFormat="1" ht="20.100000000000001" customHeight="1" x14ac:dyDescent="0.25">
      <c r="A74" s="5">
        <v>67</v>
      </c>
      <c r="B74" s="1" t="s">
        <v>161</v>
      </c>
      <c r="C74" s="1" t="s">
        <v>132</v>
      </c>
      <c r="D74" s="35" t="s">
        <v>17</v>
      </c>
      <c r="E74" s="10" t="s">
        <v>163</v>
      </c>
      <c r="F74" s="1" t="s">
        <v>162</v>
      </c>
      <c r="G74" s="1" t="s">
        <v>42</v>
      </c>
      <c r="H74" s="1">
        <v>1979</v>
      </c>
      <c r="I74" s="35">
        <v>2025</v>
      </c>
      <c r="J74" s="5">
        <f t="shared" si="4"/>
        <v>46</v>
      </c>
      <c r="K74" s="10" t="s">
        <v>80</v>
      </c>
      <c r="L74" s="4"/>
      <c r="M74" s="4">
        <v>44</v>
      </c>
      <c r="N74" s="24" t="s">
        <v>235</v>
      </c>
      <c r="O74" s="4"/>
      <c r="P74" s="25"/>
      <c r="R74" s="3" t="s">
        <v>283</v>
      </c>
    </row>
    <row r="75" spans="1:19" s="3" customFormat="1" ht="20.100000000000001" customHeight="1" x14ac:dyDescent="0.25">
      <c r="A75" s="5">
        <v>68</v>
      </c>
      <c r="B75" s="1" t="s">
        <v>284</v>
      </c>
      <c r="C75" s="1" t="s">
        <v>132</v>
      </c>
      <c r="D75" s="35" t="s">
        <v>17</v>
      </c>
      <c r="E75" s="10" t="s">
        <v>286</v>
      </c>
      <c r="F75" s="1" t="s">
        <v>285</v>
      </c>
      <c r="G75" s="1" t="s">
        <v>86</v>
      </c>
      <c r="H75" s="1">
        <v>1975</v>
      </c>
      <c r="I75" s="35">
        <v>2025</v>
      </c>
      <c r="J75" s="5">
        <f t="shared" si="4"/>
        <v>50</v>
      </c>
      <c r="K75" s="10" t="s">
        <v>287</v>
      </c>
      <c r="L75" s="4"/>
      <c r="M75" s="4"/>
      <c r="N75" s="24"/>
      <c r="O75" s="4">
        <v>45</v>
      </c>
      <c r="P75" s="25" t="s">
        <v>235</v>
      </c>
      <c r="R75" s="3" t="s">
        <v>288</v>
      </c>
      <c r="S75" s="3" t="s">
        <v>234</v>
      </c>
    </row>
    <row r="76" spans="1:19" s="3" customFormat="1" ht="20.100000000000001" customHeight="1" x14ac:dyDescent="0.25">
      <c r="A76" s="5">
        <v>69</v>
      </c>
      <c r="B76" s="1" t="s">
        <v>289</v>
      </c>
      <c r="C76" s="1" t="s">
        <v>132</v>
      </c>
      <c r="D76" s="35" t="s">
        <v>17</v>
      </c>
      <c r="E76" s="1"/>
      <c r="F76" s="1" t="s">
        <v>314</v>
      </c>
      <c r="G76" s="1" t="s">
        <v>127</v>
      </c>
      <c r="H76" s="1"/>
      <c r="I76" s="35">
        <v>2025</v>
      </c>
      <c r="J76" s="5"/>
      <c r="K76" s="10" t="s">
        <v>290</v>
      </c>
      <c r="L76" s="4"/>
      <c r="M76" s="4">
        <v>46</v>
      </c>
      <c r="N76" s="24" t="s">
        <v>235</v>
      </c>
      <c r="O76" s="4"/>
      <c r="P76" s="25"/>
      <c r="R76" s="3" t="s">
        <v>291</v>
      </c>
      <c r="S76" s="3" t="s">
        <v>234</v>
      </c>
    </row>
    <row r="77" spans="1:19" s="3" customFormat="1" ht="20.100000000000001" customHeight="1" x14ac:dyDescent="0.25">
      <c r="A77" s="5">
        <v>70</v>
      </c>
      <c r="B77" s="1" t="s">
        <v>292</v>
      </c>
      <c r="C77" s="1" t="s">
        <v>132</v>
      </c>
      <c r="D77" s="35" t="s">
        <v>17</v>
      </c>
      <c r="E77" s="10" t="s">
        <v>294</v>
      </c>
      <c r="F77" s="1" t="s">
        <v>293</v>
      </c>
      <c r="G77" s="1" t="s">
        <v>127</v>
      </c>
      <c r="H77" s="1">
        <v>1975</v>
      </c>
      <c r="I77" s="35">
        <v>2025</v>
      </c>
      <c r="J77" s="5">
        <f t="shared" si="4"/>
        <v>50</v>
      </c>
      <c r="K77" s="10" t="s">
        <v>241</v>
      </c>
      <c r="L77" s="4"/>
      <c r="M77" s="4">
        <v>48</v>
      </c>
      <c r="N77" s="24" t="s">
        <v>235</v>
      </c>
      <c r="O77" s="4"/>
      <c r="P77" s="25"/>
    </row>
    <row r="78" spans="1:19" s="3" customFormat="1" ht="20.100000000000001" customHeight="1" x14ac:dyDescent="0.2">
      <c r="A78" s="5">
        <v>71</v>
      </c>
      <c r="B78" s="1" t="s">
        <v>295</v>
      </c>
      <c r="C78" s="1" t="s">
        <v>132</v>
      </c>
      <c r="D78" s="35" t="s">
        <v>20</v>
      </c>
      <c r="E78" s="1"/>
      <c r="F78" s="1" t="s">
        <v>316</v>
      </c>
      <c r="G78" s="1"/>
      <c r="H78" s="1"/>
      <c r="J78" s="5">
        <f t="shared" si="4"/>
        <v>0</v>
      </c>
      <c r="K78" s="37">
        <v>44726</v>
      </c>
      <c r="L78" s="4"/>
      <c r="M78" s="4"/>
      <c r="N78" s="24"/>
      <c r="O78" s="4">
        <v>49</v>
      </c>
      <c r="P78" s="25" t="s">
        <v>235</v>
      </c>
    </row>
    <row r="79" spans="1:19" s="3" customFormat="1" ht="20.100000000000001" customHeight="1" x14ac:dyDescent="0.25">
      <c r="A79" s="5">
        <v>72</v>
      </c>
      <c r="B79" s="1" t="s">
        <v>296</v>
      </c>
      <c r="C79" s="1" t="s">
        <v>321</v>
      </c>
      <c r="D79" s="35" t="s">
        <v>17</v>
      </c>
      <c r="E79" s="10" t="s">
        <v>177</v>
      </c>
      <c r="F79" s="1" t="s">
        <v>297</v>
      </c>
      <c r="G79" s="1" t="s">
        <v>86</v>
      </c>
      <c r="H79" s="1">
        <v>1970</v>
      </c>
      <c r="I79" s="35">
        <v>2025</v>
      </c>
      <c r="J79" s="5">
        <f t="shared" si="4"/>
        <v>55</v>
      </c>
      <c r="K79" s="10" t="s">
        <v>298</v>
      </c>
      <c r="L79" s="4"/>
      <c r="M79" s="4">
        <v>50</v>
      </c>
      <c r="N79" s="24" t="s">
        <v>235</v>
      </c>
      <c r="O79" s="4"/>
      <c r="P79" s="25"/>
    </row>
    <row r="80" spans="1:19" s="3" customFormat="1" ht="20.100000000000001" customHeight="1" x14ac:dyDescent="0.25">
      <c r="A80" s="5">
        <v>73</v>
      </c>
      <c r="B80" s="1" t="s">
        <v>299</v>
      </c>
      <c r="C80" s="1" t="s">
        <v>322</v>
      </c>
      <c r="D80" s="35" t="s">
        <v>17</v>
      </c>
      <c r="E80" s="1"/>
      <c r="F80" s="1" t="s">
        <v>300</v>
      </c>
      <c r="G80" s="1" t="s">
        <v>27</v>
      </c>
      <c r="H80" s="1">
        <v>1964</v>
      </c>
      <c r="I80" s="35">
        <v>2025</v>
      </c>
      <c r="J80" s="5">
        <f t="shared" si="4"/>
        <v>61</v>
      </c>
      <c r="K80" s="12" t="s">
        <v>301</v>
      </c>
      <c r="O80" s="3">
        <v>55</v>
      </c>
      <c r="P80" s="25" t="s">
        <v>235</v>
      </c>
    </row>
    <row r="81" spans="1:11" x14ac:dyDescent="0.25">
      <c r="A81" s="5">
        <v>74</v>
      </c>
      <c r="B81" s="20" t="s">
        <v>306</v>
      </c>
      <c r="C81" s="1" t="s">
        <v>323</v>
      </c>
      <c r="D81" s="35" t="s">
        <v>17</v>
      </c>
      <c r="E81" s="5"/>
      <c r="F81" s="1" t="s">
        <v>309</v>
      </c>
      <c r="G81" s="5"/>
      <c r="H81" s="5"/>
      <c r="K81" s="38">
        <v>45860</v>
      </c>
    </row>
    <row r="82" spans="1:11" x14ac:dyDescent="0.25">
      <c r="A82" s="5">
        <v>75</v>
      </c>
      <c r="B82" s="20" t="s">
        <v>307</v>
      </c>
      <c r="C82" s="1" t="s">
        <v>323</v>
      </c>
      <c r="D82" s="35" t="s">
        <v>17</v>
      </c>
      <c r="E82" s="5"/>
      <c r="F82" s="1" t="s">
        <v>308</v>
      </c>
      <c r="G82" s="5"/>
      <c r="H82" s="5"/>
      <c r="K82" s="38">
        <v>45860</v>
      </c>
    </row>
    <row r="83" spans="1:11" x14ac:dyDescent="0.25">
      <c r="A83" s="5">
        <v>76</v>
      </c>
      <c r="B83" s="1" t="s">
        <v>302</v>
      </c>
      <c r="C83" s="1" t="s">
        <v>317</v>
      </c>
      <c r="D83" s="35" t="s">
        <v>17</v>
      </c>
      <c r="E83" s="5"/>
      <c r="F83" s="1" t="s">
        <v>303</v>
      </c>
      <c r="G83" s="5"/>
      <c r="H83" s="5"/>
      <c r="K83" s="21" t="s">
        <v>310</v>
      </c>
    </row>
    <row r="84" spans="1:11" x14ac:dyDescent="0.25">
      <c r="A84" s="5">
        <v>77</v>
      </c>
      <c r="B84" s="19" t="s">
        <v>304</v>
      </c>
      <c r="C84" s="1" t="s">
        <v>317</v>
      </c>
      <c r="D84" s="35" t="s">
        <v>17</v>
      </c>
      <c r="E84" s="5"/>
      <c r="F84" s="36" t="s">
        <v>305</v>
      </c>
      <c r="G84" s="5"/>
      <c r="H84" s="5"/>
      <c r="K84" s="21" t="s">
        <v>311</v>
      </c>
    </row>
  </sheetData>
  <mergeCells count="2">
    <mergeCell ref="A1:N1"/>
    <mergeCell ref="A56:C5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jabatan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2025-11-11T03:32:20Z</dcterms:created>
  <dcterms:modified xsi:type="dcterms:W3CDTF">2026-02-06T04:37:08Z</dcterms:modified>
</cp:coreProperties>
</file>